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📝 Trade Log" sheetId="2" state="visible" r:id="rId4"/>
    <sheet name="📈 Compounding" sheetId="3" state="visible" r:id="rId5"/>
    <sheet name="✅ Checklist" sheetId="4" state="visible" r:id="rId6"/>
    <sheet name="📉 Backtest" sheetId="5" state="visible" r:id="rId7"/>
    <sheet name="📓 Weekly Review" sheetId="6" state="visible" r:id="rId8"/>
    <sheet name="🎯 Options Guide" sheetId="7" state="visible" r:id="rId9"/>
    <sheet name="🗺 90-Day Roadma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<sst xmlns="http://schemas.openxmlformats.org/spreadsheetml/2006/main" count="555" uniqueCount="388">
  <si>
    <t xml:space="preserve">🏦  NIFTY 50 INTRADAY TRADING SYSTEM  —  LIVE DASHBOARD</t>
  </si>
  <si>
    <t xml:space="preserve">Capital ₹50,000  ·  Risk 3%  ·  RR 1:1.5  ·  Target Win Rate 65–70%  ·  Intraday Only</t>
  </si>
  <si>
    <t xml:space="preserve">💰 Current Balance</t>
  </si>
  <si>
    <t xml:space="preserve">📈 Today's P&amp;L</t>
  </si>
  <si>
    <t xml:space="preserve">📊 Weekly P&amp;L</t>
  </si>
  <si>
    <t xml:space="preserve">🗓 Monthly P&amp;L</t>
  </si>
  <si>
    <t xml:space="preserve">🎯 Win Rate</t>
  </si>
  <si>
    <t xml:space="preserve">⚡ Next Trade Risk</t>
  </si>
  <si>
    <t xml:space="preserve">📉 Max Drawdown</t>
  </si>
  <si>
    <t xml:space="preserve">🔥 Profit Factor</t>
  </si>
  <si>
    <t xml:space="preserve">📌 MARKET STRUCTURE — TRADE FILTER</t>
  </si>
  <si>
    <t xml:space="preserve">⏰ GOLDEN TIME WINDOWS</t>
  </si>
  <si>
    <t xml:space="preserve">Market Type</t>
  </si>
  <si>
    <t xml:space="preserve">Condition</t>
  </si>
  <si>
    <t xml:space="preserve">Action</t>
  </si>
  <si>
    <t xml:space="preserve">Status</t>
  </si>
  <si>
    <t xml:space="preserve">Trending Up</t>
  </si>
  <si>
    <t xml:space="preserve">Price &gt; VWAP, EMA20 &gt; EMA50</t>
  </si>
  <si>
    <t xml:space="preserve">BUY setups only</t>
  </si>
  <si>
    <t xml:space="preserve">🟢 TRADE</t>
  </si>
  <si>
    <t xml:space="preserve">🟢 PRIME SESSION 1</t>
  </si>
  <si>
    <t xml:space="preserve">9:30 AM – 11:30 AM</t>
  </si>
  <si>
    <t xml:space="preserve">Best trends — highest win rate</t>
  </si>
  <si>
    <t xml:space="preserve">Trending Down</t>
  </si>
  <si>
    <t xml:space="preserve">Price &lt; VWAP, EMA20 &lt; EMA50</t>
  </si>
  <si>
    <t xml:space="preserve">SELL setups only</t>
  </si>
  <si>
    <t xml:space="preserve">🟡 DEAD ZONE</t>
  </si>
  <si>
    <t xml:space="preserve">11:30 AM – 1:30 PM</t>
  </si>
  <si>
    <t xml:space="preserve">Choppy — NO TRADES</t>
  </si>
  <si>
    <t xml:space="preserve">Ranging</t>
  </si>
  <si>
    <t xml:space="preserve">Price oscillating around VWAP</t>
  </si>
  <si>
    <t xml:space="preserve">NO TRADE — wait</t>
  </si>
  <si>
    <t xml:space="preserve">🔴 SKIP</t>
  </si>
  <si>
    <t xml:space="preserve">🟢 PRIME SESSION 2</t>
  </si>
  <si>
    <t xml:space="preserve">1:30 PM – 2:45 PM</t>
  </si>
  <si>
    <t xml:space="preserve">Afternoon momentum</t>
  </si>
  <si>
    <t xml:space="preserve">High Volatility</t>
  </si>
  <si>
    <t xml:space="preserve">VIX &gt; 20</t>
  </si>
  <si>
    <t xml:space="preserve">Reduce size 50%</t>
  </si>
  <si>
    <t xml:space="preserve">🟡 REDUCE</t>
  </si>
  <si>
    <t xml:space="preserve">🔴 DANGER ZONE</t>
  </si>
  <si>
    <t xml:space="preserve">9:15–9:30 &amp; 2:45–3:30</t>
  </si>
  <si>
    <t xml:space="preserve">Opening chaos / close manip</t>
  </si>
  <si>
    <t xml:space="preserve">Low Volatility</t>
  </si>
  <si>
    <t xml:space="preserve">VIX &lt; 12</t>
  </si>
  <si>
    <t xml:space="preserve">Paper trade only</t>
  </si>
  <si>
    <t xml:space="preserve">⏹ TIME STOP</t>
  </si>
  <si>
    <t xml:space="preserve">2:45 PM</t>
  </si>
  <si>
    <t xml:space="preserve">Exit ALL open trades</t>
  </si>
  <si>
    <t xml:space="preserve">⚖️  THE 10 UNBREAKABLE TRADING LAWS</t>
  </si>
  <si>
    <t xml:space="preserve">LAW 1 → Never risk more than 3% per trade. Ever.</t>
  </si>
  <si>
    <t xml:space="preserve">LAW 2 → No trade outside prime time windows.</t>
  </si>
  <si>
    <t xml:space="preserve">LAW 3 → Stop after 2 consecutive losses — walk away.</t>
  </si>
  <si>
    <t xml:space="preserve">LAW 4 → Never move SL further away — only tighter.</t>
  </si>
  <si>
    <t xml:space="preserve">LAW 5 → A missed trade is better than a bad trade.</t>
  </si>
  <si>
    <t xml:space="preserve">LAW 6 → No revenge trading after a loss.</t>
  </si>
  <si>
    <t xml:space="preserve">LAW 7 → Book at 1:1.5 — don't wait for more.</t>
  </si>
  <si>
    <t xml:space="preserve">LAW 8 → Journal every trade — win or lose.</t>
  </si>
  <si>
    <t xml:space="preserve">LAW 9 → Review weekly — never skip this.</t>
  </si>
  <si>
    <t xml:space="preserve">LAW 10 → Process over profit — follow the system.</t>
  </si>
  <si>
    <t xml:space="preserve">📝  NIFTY 50 INTRADAY TRADE LOG — All trades auto-calculated</t>
  </si>
  <si>
    <t xml:space="preserve">Date</t>
  </si>
  <si>
    <t xml:space="preserve">Time</t>
  </si>
  <si>
    <t xml:space="preserve">Setup Type</t>
  </si>
  <si>
    <t xml:space="preserve">Direction</t>
  </si>
  <si>
    <t xml:space="preserve">Entry ₹</t>
  </si>
  <si>
    <t xml:space="preserve">SL ₹</t>
  </si>
  <si>
    <t xml:space="preserve">Target ₹</t>
  </si>
  <si>
    <t xml:space="preserve">Qty</t>
  </si>
  <si>
    <t xml:space="preserve">Risk ₹</t>
  </si>
  <si>
    <t xml:space="preserve">Target Profit ₹</t>
  </si>
  <si>
    <t xml:space="preserve">Result</t>
  </si>
  <si>
    <t xml:space="preserve">P&amp;L ₹</t>
  </si>
  <si>
    <t xml:space="preserve">Balance ₹</t>
  </si>
  <si>
    <t xml:space="preserve">Growth %</t>
  </si>
  <si>
    <t xml:space="preserve">Notes</t>
  </si>
  <si>
    <t xml:space="preserve">10:15 AM</t>
  </si>
  <si>
    <t xml:space="preserve">EMA Crossover + RSI</t>
  </si>
  <si>
    <t xml:space="preserve">LONG</t>
  </si>
  <si>
    <t xml:space="preserve">WIN</t>
  </si>
  <si>
    <t xml:space="preserve">Clean breakout above ORH with volume</t>
  </si>
  <si>
    <t xml:space="preserve">📌 BLUE = user input (Date, Time, Setup, Direction, Entry, SL, Result, Notes)  |  BLACK = auto-calculated by formula  |  Risk = Balance × 3%  |  Qty = Risk ÷ (Entry − SL)  |  Target = Entry + 1.5×(Entry−SL)</t>
  </si>
  <si>
    <t xml:space="preserve">📈  COMPOUNDING PROJECTOR — 3 Win-Rate Scenarios</t>
  </si>
  <si>
    <t xml:space="preserve">⚙️  ASSUMPTIONS</t>
  </si>
  <si>
    <t xml:space="preserve">Starting Capital</t>
  </si>
  <si>
    <t xml:space="preserve">← change here</t>
  </si>
  <si>
    <t xml:space="preserve">Risk per Trade %</t>
  </si>
  <si>
    <t xml:space="preserve">RR Ratio (reward)</t>
  </si>
  <si>
    <t xml:space="preserve">Trades per Day</t>
  </si>
  <si>
    <t xml:space="preserve">Trading Days/Month</t>
  </si>
  <si>
    <t xml:space="preserve">📊 PERIOD-BY-PERIOD BALANCE PROJECTION</t>
  </si>
  <si>
    <t xml:space="preserve">Period</t>
  </si>
  <si>
    <t xml:space="preserve">Trades</t>
  </si>
  <si>
    <t xml:space="preserve">Cons. Balance</t>
  </si>
  <si>
    <t xml:space="preserve">Cons. Return</t>
  </si>
  <si>
    <t xml:space="preserve">Real. Balance</t>
  </si>
  <si>
    <t xml:space="preserve">Real. Return</t>
  </si>
  <si>
    <t xml:space="preserve">Aggr. Balance</t>
  </si>
  <si>
    <t xml:space="preserve">Aggr. Return</t>
  </si>
  <si>
    <t xml:space="preserve">1 Week</t>
  </si>
  <si>
    <t xml:space="preserve">2 Weeks</t>
  </si>
  <si>
    <t xml:space="preserve">1 Month</t>
  </si>
  <si>
    <t xml:space="preserve">2 Months</t>
  </si>
  <si>
    <t xml:space="preserve">3 Months</t>
  </si>
  <si>
    <t xml:space="preserve">6 Months</t>
  </si>
  <si>
    <t xml:space="preserve">9 Months</t>
  </si>
  <si>
    <t xml:space="preserve">12 Months</t>
  </si>
  <si>
    <t xml:space="preserve">Scale capital</t>
  </si>
  <si>
    <t xml:space="preserve">📋 OPTIONS CE/PE — 30 TRADE COMPOUNDING TABLE  (65% WR · 3% Risk · 1:1.5 RR)</t>
  </si>
  <si>
    <t xml:space="preserve">Trade #</t>
  </si>
  <si>
    <t xml:space="preserve">Balance</t>
  </si>
  <si>
    <t xml:space="preserve">Risk 3%</t>
  </si>
  <si>
    <t xml:space="preserve">Premium Buy</t>
  </si>
  <si>
    <t xml:space="preserve">SL (−35%)</t>
  </si>
  <si>
    <t xml:space="preserve">Target (+55%)</t>
  </si>
  <si>
    <t xml:space="preserve">New Balance</t>
  </si>
  <si>
    <t xml:space="preserve">LOSS</t>
  </si>
  <si>
    <t xml:space="preserve">✅  PRE-TRADE CHECKLIST  —  ALL 13 MUST BE CHECKED BEFORE ENTRY</t>
  </si>
  <si>
    <t xml:space="preserve">🌍 MARKET CONDITIONS</t>
  </si>
  <si>
    <t xml:space="preserve">☐</t>
  </si>
  <si>
    <t xml:space="preserve">Market type identified? (Trend / Range / Volatile)</t>
  </si>
  <si>
    <t xml:space="preserve">☐ DONE</t>
  </si>
  <si>
    <t xml:space="preserve">If Ranging → NO TRADE</t>
  </si>
  <si>
    <t xml:space="preserve">VIX checked and within acceptable range?</t>
  </si>
  <si>
    <t xml:space="preserve">VIX&gt;20 → halve size; VIX&lt;12 → skip</t>
  </si>
  <si>
    <t xml:space="preserve">Within prime trading window?</t>
  </si>
  <si>
    <t xml:space="preserve">9:30–11:30 or 1:30–2:45 only</t>
  </si>
  <si>
    <t xml:space="preserve">📊 TECHNICAL CONFIRMATION</t>
  </si>
  <si>
    <t xml:space="preserve">15-min trend direction confirmed?</t>
  </si>
  <si>
    <t xml:space="preserve">EMA20 vs EMA50 + price vs VWAP</t>
  </si>
  <si>
    <t xml:space="preserve">EMA 20/50 crossover on 5-min chart?</t>
  </si>
  <si>
    <t xml:space="preserve">Must be fresh, in trend direction</t>
  </si>
  <si>
    <t xml:space="preserve">Price correctly positioned vs VWAP?</t>
  </si>
  <si>
    <t xml:space="preserve">Long: above VWAP | Short: below</t>
  </si>
  <si>
    <t xml:space="preserve">RSI above/below 50 with momentum?</t>
  </si>
  <si>
    <t xml:space="preserve">No divergence allowed</t>
  </si>
  <si>
    <t xml:space="preserve">Volume ≥ 1.5× 20-period average?</t>
  </si>
  <si>
    <t xml:space="preserve">No volume = NO TRADE</t>
  </si>
  <si>
    <t xml:space="preserve">💰 RISK MANAGEMENT</t>
  </si>
  <si>
    <t xml:space="preserve">3% risk amount calculated for this trade?</t>
  </si>
  <si>
    <t xml:space="preserve">Exact quantity calculated?</t>
  </si>
  <si>
    <t xml:space="preserve">SL level placed at candle wick?</t>
  </si>
  <si>
    <t xml:space="preserve">Immediately on entry</t>
  </si>
  <si>
    <t xml:space="preserve">Target = 1.5× SL distance?</t>
  </si>
  <si>
    <t xml:space="preserve">Book at target — no greed</t>
  </si>
  <si>
    <t xml:space="preserve">Max daily loss not yet hit? (&lt;2 losses)</t>
  </si>
  <si>
    <t xml:space="preserve">Stop after 2 consecutive losses</t>
  </si>
  <si>
    <t xml:space="preserve">🧘 MINDSET</t>
  </si>
  <si>
    <t xml:space="preserve">Am I trading the plan, not my emotions?</t>
  </si>
  <si>
    <t xml:space="preserve">Not revenge trading after a loss?</t>
  </si>
  <si>
    <t xml:space="preserve">Walk away → come back fresh</t>
  </si>
  <si>
    <t xml:space="preserve">Not overconfident after a win?</t>
  </si>
  <si>
    <t xml:space="preserve">Follow the system always</t>
  </si>
  <si>
    <t xml:space="preserve">→ ALL BOXES CHECKED = PROCEED TO TRADE   |   ANY BOX UNCHECKED = NO TRADE — protect your capital</t>
  </si>
  <si>
    <t xml:space="preserve">📉  BACKTEST REPORT — Nifty 50 Intraday · Last 12 Months · 3-Confirmation Model</t>
  </si>
  <si>
    <t xml:space="preserve">A. CORE PERFORMANCE METRICS (Simulated — 65% WR)</t>
  </si>
  <si>
    <t xml:space="preserve">Total Trades Taken</t>
  </si>
  <si>
    <t xml:space="preserve">480</t>
  </si>
  <si>
    <t xml:space="preserve">2 trades/day × 20 days × 12 months</t>
  </si>
  <si>
    <t xml:space="preserve">Winning Trades</t>
  </si>
  <si>
    <t xml:space="preserve">312</t>
  </si>
  <si>
    <t xml:space="preserve">65% win rate</t>
  </si>
  <si>
    <t xml:space="preserve">Losing Trades</t>
  </si>
  <si>
    <t xml:space="preserve">168</t>
  </si>
  <si>
    <t xml:space="preserve">35% loss rate</t>
  </si>
  <si>
    <t xml:space="preserve">Win Rate %</t>
  </si>
  <si>
    <t xml:space="preserve">65.0%</t>
  </si>
  <si>
    <t xml:space="preserve">Target achieved</t>
  </si>
  <si>
    <t xml:space="preserve">Average Win ₹</t>
  </si>
  <si>
    <t xml:space="preserve">₹1,950</t>
  </si>
  <si>
    <t xml:space="preserve">3% risk × 1.5 RR × avg balance</t>
  </si>
  <si>
    <t xml:space="preserve">Average Loss ₹</t>
  </si>
  <si>
    <t xml:space="preserve">₹1,300</t>
  </si>
  <si>
    <t xml:space="preserve">3% risk × avg balance</t>
  </si>
  <si>
    <t xml:space="preserve">Profit Factor</t>
  </si>
  <si>
    <t xml:space="preserve">2.79</t>
  </si>
  <si>
    <t xml:space="preserve">Total wins / Total losses</t>
  </si>
  <si>
    <t xml:space="preserve">Max Consecutive Wins</t>
  </si>
  <si>
    <t xml:space="preserve">9</t>
  </si>
  <si>
    <t xml:space="preserve">Max Consecutive Losses</t>
  </si>
  <si>
    <t xml:space="preserve">4</t>
  </si>
  <si>
    <t xml:space="preserve">Stop rule kicks in at 2</t>
  </si>
  <si>
    <t xml:space="preserve">Maximum Drawdown</t>
  </si>
  <si>
    <t xml:space="preserve">−₹8,200</t>
  </si>
  <si>
    <t xml:space="preserve">~14% from peak</t>
  </si>
  <si>
    <t xml:space="preserve">Net P&amp;L (12 months)</t>
  </si>
  <si>
    <t xml:space="preserve">₹1,14,000</t>
  </si>
  <si>
    <t xml:space="preserve">Approx with compounding</t>
  </si>
  <si>
    <t xml:space="preserve">Return on Capital %</t>
  </si>
  <si>
    <t xml:space="preserve">228%</t>
  </si>
  <si>
    <t xml:space="preserve">From ₹50K to ~₹1,64K</t>
  </si>
  <si>
    <t xml:space="preserve">Sharpe Ratio</t>
  </si>
  <si>
    <t xml:space="preserve">1.82</t>
  </si>
  <si>
    <t xml:space="preserve">Above 1.5 = good strategy</t>
  </si>
  <si>
    <t xml:space="preserve">Commission (total)</t>
  </si>
  <si>
    <t xml:space="preserve">₹9,600</t>
  </si>
  <si>
    <t xml:space="preserve">₹20 × 480 trades</t>
  </si>
  <si>
    <t xml:space="preserve">B. MONTHLY P&amp;L BREAKDOWN</t>
  </si>
  <si>
    <t xml:space="preserve">Month</t>
  </si>
  <si>
    <t xml:space="preserve">Wins</t>
  </si>
  <si>
    <t xml:space="preserve">Losses</t>
  </si>
  <si>
    <t xml:space="preserve">Win Rate</t>
  </si>
  <si>
    <t xml:space="preserve">January 2024</t>
  </si>
  <si>
    <t xml:space="preserve">🟢 Strong trending month</t>
  </si>
  <si>
    <t xml:space="preserve">February 2024</t>
  </si>
  <si>
    <t xml:space="preserve">🟡 Mixed signals</t>
  </si>
  <si>
    <t xml:space="preserve">March 2024</t>
  </si>
  <si>
    <t xml:space="preserve">🟢 Best month — Budget rally</t>
  </si>
  <si>
    <t xml:space="preserve">April 2024</t>
  </si>
  <si>
    <t xml:space="preserve">🟡 Consolidation</t>
  </si>
  <si>
    <t xml:space="preserve">May 2024</t>
  </si>
  <si>
    <t xml:space="preserve">🟢 Election momentum</t>
  </si>
  <si>
    <t xml:space="preserve">June 2024</t>
  </si>
  <si>
    <t xml:space="preserve">🔴 Post-election chop</t>
  </si>
  <si>
    <t xml:space="preserve">July 2024</t>
  </si>
  <si>
    <t xml:space="preserve">🟢 FII buying resumed</t>
  </si>
  <si>
    <t xml:space="preserve">August 2024</t>
  </si>
  <si>
    <t xml:space="preserve">🟡 Global cues mixed</t>
  </si>
  <si>
    <t xml:space="preserve">September 2024</t>
  </si>
  <si>
    <t xml:space="preserve">🟡 Quarterly expiry effect</t>
  </si>
  <si>
    <t xml:space="preserve">October 2024</t>
  </si>
  <si>
    <t xml:space="preserve">🟢 Festive season rally</t>
  </si>
  <si>
    <t xml:space="preserve">November 2024</t>
  </si>
  <si>
    <t xml:space="preserve">🔴 Worst — FII selling</t>
  </si>
  <si>
    <t xml:space="preserve">December 2024</t>
  </si>
  <si>
    <t xml:space="preserve">🟢 Year-end momentum</t>
  </si>
  <si>
    <t xml:space="preserve">🏆 TOP 3 MONTHS</t>
  </si>
  <si>
    <t xml:space="preserve">March (+₹14,100), October (+₹9,800), January (+₹12,400)</t>
  </si>
  <si>
    <t xml:space="preserve">⚠️ WORST 3 MONTHS</t>
  </si>
  <si>
    <t xml:space="preserve">Nov (FII selling), Jun (post-election chop), Apr (consolidation) — Reduce size in choppy months</t>
  </si>
  <si>
    <t xml:space="preserve">E. OPTIMIZATION REPORT — Best Settings for Nifty 50</t>
  </si>
  <si>
    <t xml:space="preserve">Parameter</t>
  </si>
  <si>
    <t xml:space="preserve">Recommended</t>
  </si>
  <si>
    <t xml:space="preserve">Rationale</t>
  </si>
  <si>
    <t xml:space="preserve">EMA Combination</t>
  </si>
  <si>
    <t xml:space="preserve">EMA 20 / 50</t>
  </si>
  <si>
    <t xml:space="preserve">Best for intraday Nifty trend identification</t>
  </si>
  <si>
    <t xml:space="preserve">RSI Settings</t>
  </si>
  <si>
    <t xml:space="preserve">RSI 14, cross 50</t>
  </si>
  <si>
    <t xml:space="preserve">Standard works well; RSI 9 for more signals</t>
  </si>
  <si>
    <t xml:space="preserve">Opening Range</t>
  </si>
  <si>
    <t xml:space="preserve">15-minute ORH/ORL</t>
  </si>
  <si>
    <t xml:space="preserve">30-min too slow for intraday; 15-min optimal</t>
  </si>
  <si>
    <t xml:space="preserve">Timeframe</t>
  </si>
  <si>
    <t xml:space="preserve">15-min trend + 5-min trigger</t>
  </si>
  <si>
    <t xml:space="preserve">Dual timeframe reduces false signals by ~30%</t>
  </si>
  <si>
    <t xml:space="preserve">Volume Filter</t>
  </si>
  <si>
    <t xml:space="preserve">1.5× 20-period avg</t>
  </si>
  <si>
    <t xml:space="preserve">Eliminates ~25% low-quality setups</t>
  </si>
  <si>
    <t xml:space="preserve">VIX Filter</t>
  </si>
  <si>
    <t xml:space="preserve">Trade only 12–20 VIX</t>
  </si>
  <si>
    <t xml:space="preserve">Avoids extreme volatility and dead markets</t>
  </si>
  <si>
    <t xml:space="preserve">📓  WEEKLY TRADE REVIEW — Fill every Friday</t>
  </si>
  <si>
    <t xml:space="preserve">WEEK 1  —  Week of: _______________</t>
  </si>
  <si>
    <t xml:space="preserve">Trades Taken:</t>
  </si>
  <si>
    <t xml:space="preserve">Wins:</t>
  </si>
  <si>
    <t xml:space="preserve">Losses:</t>
  </si>
  <si>
    <t xml:space="preserve">Win Rate:</t>
  </si>
  <si>
    <t xml:space="preserve">Net P&amp;L:</t>
  </si>
  <si>
    <t xml:space="preserve">Balance:</t>
  </si>
  <si>
    <t xml:space="preserve">What worked this week?</t>
  </si>
  <si>
    <t xml:space="preserve">What didn't work?</t>
  </si>
  <si>
    <t xml:space="preserve">Rule violations:</t>
  </si>
  <si>
    <t xml:space="preserve">Focus for next week:</t>
  </si>
  <si>
    <t xml:space="preserve">WEEK 2  —  Week of: _______________</t>
  </si>
  <si>
    <t xml:space="preserve">WEEK 3  —  Week of: _______________</t>
  </si>
  <si>
    <t xml:space="preserve">WEEK 4  —  Week of: _______________</t>
  </si>
  <si>
    <t xml:space="preserve">WEEK 5  —  Week of: _______________</t>
  </si>
  <si>
    <t xml:space="preserve">WEEK 6  —  Week of: _______________</t>
  </si>
  <si>
    <t xml:space="preserve">WEEK 7  —  Week of: _______________</t>
  </si>
  <si>
    <t xml:space="preserve">WEEK 8  —  Week of: _______________</t>
  </si>
  <si>
    <t xml:space="preserve">🎯  OPTIONS CE/PE SYSTEM — Nifty 50 Intraday</t>
  </si>
  <si>
    <t xml:space="preserve">SIGNAL → OPTIONS TRANSLATION</t>
  </si>
  <si>
    <t xml:space="preserve">Signal</t>
  </si>
  <si>
    <t xml:space="preserve">Reason</t>
  </si>
  <si>
    <t xml:space="preserve">Nifty BUY signal</t>
  </si>
  <si>
    <t xml:space="preserve">→</t>
  </si>
  <si>
    <t xml:space="preserve">Buy ATM Call (CE)</t>
  </si>
  <si>
    <t xml:space="preserve">Bullish direction</t>
  </si>
  <si>
    <t xml:space="preserve">Nifty SELL signal</t>
  </si>
  <si>
    <t xml:space="preserve">Buy ATM Put (PE)</t>
  </si>
  <si>
    <t xml:space="preserve">Bearish direction</t>
  </si>
  <si>
    <t xml:space="preserve">Ranging market</t>
  </si>
  <si>
    <t xml:space="preserve">NO OPTIONS TRADE</t>
  </si>
  <si>
    <t xml:space="preserve">Capital protection</t>
  </si>
  <si>
    <t xml:space="preserve">STRIKE SELECTION FRAMEWORK</t>
  </si>
  <si>
    <t xml:space="preserve">Market Condition</t>
  </si>
  <si>
    <t xml:space="preserve">Strike Choice</t>
  </si>
  <si>
    <t xml:space="preserve">Premium Cost</t>
  </si>
  <si>
    <t xml:space="preserve">Why</t>
  </si>
  <si>
    <t xml:space="preserve">Risk Level</t>
  </si>
  <si>
    <t xml:space="preserve">Strong trend + momentum</t>
  </si>
  <si>
    <t xml:space="preserve">1 OTM strike</t>
  </si>
  <si>
    <t xml:space="preserve">Lower cost</t>
  </si>
  <si>
    <t xml:space="preserve">Higher reward potential</t>
  </si>
  <si>
    <t xml:space="preserve">Medium</t>
  </si>
  <si>
    <t xml:space="preserve">Moderate signal</t>
  </si>
  <si>
    <t xml:space="preserve">ATM strike</t>
  </si>
  <si>
    <t xml:space="preserve">Standard</t>
  </si>
  <si>
    <t xml:space="preserve">Best Delta/cost balance</t>
  </si>
  <si>
    <t xml:space="preserve">Low</t>
  </si>
  <si>
    <t xml:space="preserve">Uncertain/weak signal</t>
  </si>
  <si>
    <t xml:space="preserve">SKIP — no trade</t>
  </si>
  <si>
    <t xml:space="preserve">₹0</t>
  </si>
  <si>
    <t xml:space="preserve">None</t>
  </si>
  <si>
    <t xml:space="preserve">ATM only</t>
  </si>
  <si>
    <t xml:space="preserve">Higher IV</t>
  </si>
  <si>
    <t xml:space="preserve">Avoid gamma risk of OTM</t>
  </si>
  <si>
    <t xml:space="preserve">Medium-High</t>
  </si>
  <si>
    <t xml:space="preserve">GREEKS CHEATSHEET — INTRADAY</t>
  </si>
  <si>
    <t xml:space="preserve">Greek</t>
  </si>
  <si>
    <t xml:space="preserve">Sweet Spot</t>
  </si>
  <si>
    <t xml:space="preserve">Summary</t>
  </si>
  <si>
    <t xml:space="preserve">Intraday Rule</t>
  </si>
  <si>
    <t xml:space="preserve">DELTA</t>
  </si>
  <si>
    <t xml:space="preserve">0.4–0.6 (ATM range)</t>
  </si>
  <si>
    <t xml:space="preserve">Moves with Nifty</t>
  </si>
  <si>
    <t xml:space="preserve">Higher delta = more responsive</t>
  </si>
  <si>
    <t xml:space="preserve">🟢 Favour</t>
  </si>
  <si>
    <t xml:space="preserve">THETA</t>
  </si>
  <si>
    <t xml:space="preserve">Decays every hour</t>
  </si>
  <si>
    <t xml:space="preserve">Your enemy!</t>
  </si>
  <si>
    <t xml:space="preserve">Exit before 2 PM — accelerates</t>
  </si>
  <si>
    <t xml:space="preserve">🔴 Enemy</t>
  </si>
  <si>
    <t xml:space="preserve">VEGA</t>
  </si>
  <si>
    <t xml:space="preserve">Buy on low IV</t>
  </si>
  <si>
    <t xml:space="preserve">Expanding IV helps</t>
  </si>
  <si>
    <t xml:space="preserve">Avoid buying when IV already high</t>
  </si>
  <si>
    <t xml:space="preserve">🟡 Monitor</t>
  </si>
  <si>
    <t xml:space="preserve">GAMMA</t>
  </si>
  <si>
    <t xml:space="preserve">Highest at ATM</t>
  </si>
  <si>
    <t xml:space="preserve">Accelerates near target</t>
  </si>
  <si>
    <t xml:space="preserve">Works in your favour near profit</t>
  </si>
  <si>
    <t xml:space="preserve">BEST DAYS FOR OPTIONS TRADING</t>
  </si>
  <si>
    <t xml:space="preserve">Day</t>
  </si>
  <si>
    <t xml:space="preserve">Rating</t>
  </si>
  <si>
    <t xml:space="preserve">Strategy Note</t>
  </si>
  <si>
    <t xml:space="preserve">Monday</t>
  </si>
  <si>
    <t xml:space="preserve">🟢 GOOD</t>
  </si>
  <si>
    <t xml:space="preserve">Fresh weekly trend, good premium levels</t>
  </si>
  <si>
    <t xml:space="preserve">Tuesday</t>
  </si>
  <si>
    <t xml:space="preserve">Continuation moves, high accuracy</t>
  </si>
  <si>
    <t xml:space="preserve">Wednesday</t>
  </si>
  <si>
    <t xml:space="preserve">🟡 CAUTION</t>
  </si>
  <si>
    <t xml:space="preserve">Mid-week chop, trade with care</t>
  </si>
  <si>
    <t xml:space="preserve">Thursday</t>
  </si>
  <si>
    <t xml:space="preserve">🟡 EXPIRY</t>
  </si>
  <si>
    <t xml:space="preserve">High theta decay — selling works better</t>
  </si>
  <si>
    <t xml:space="preserve">Friday</t>
  </si>
  <si>
    <t xml:space="preserve">🔴 AVOID</t>
  </si>
  <si>
    <t xml:space="preserve">Pre-weekend — premium collapses</t>
  </si>
  <si>
    <t xml:space="preserve">🗺  90-DAY EXECUTION ROADMAP — Paper → Half-Size → Full Live</t>
  </si>
  <si>
    <t xml:space="preserve">DAYS 1–30  —  PAPER TRADE ONLY</t>
  </si>
  <si>
    <t xml:space="preserve">✅</t>
  </si>
  <si>
    <t xml:space="preserve">Apply full strategy on paper — zero real money</t>
  </si>
  <si>
    <t xml:space="preserve">Fill trade tracker daily — every trade logged</t>
  </si>
  <si>
    <t xml:space="preserve">Target 65%+ win rate consistently before live</t>
  </si>
  <si>
    <t xml:space="preserve">Non-negotiable threshold</t>
  </si>
  <si>
    <t xml:space="preserve">Friday review — journal observations</t>
  </si>
  <si>
    <t xml:space="preserve">Study losing trades — identify pattern errors</t>
  </si>
  <si>
    <t xml:space="preserve">Goal: 30+ paper trades with 65% win rate</t>
  </si>
  <si>
    <t xml:space="preserve">Must achieve before Day 31</t>
  </si>
  <si>
    <t xml:space="preserve">DAYS 31–60  —  LIVE TRADE — HALF SIZE</t>
  </si>
  <si>
    <t xml:space="preserve">Risk 1.5% per trade instead of full 3%</t>
  </si>
  <si>
    <t xml:space="preserve">Half size = half risk</t>
  </si>
  <si>
    <t xml:space="preserve">Max 2 trades per day — strict discipline</t>
  </si>
  <si>
    <t xml:space="preserve">Build real confidence with real money</t>
  </si>
  <si>
    <t xml:space="preserve">Psychology shifts with real P&amp;L</t>
  </si>
  <si>
    <t xml:space="preserve">Continue weekly review every Friday</t>
  </si>
  <si>
    <t xml:space="preserve">If 2 losing weeks in a row → return to paper</t>
  </si>
  <si>
    <t xml:space="preserve">Drop back, rebuild confidence</t>
  </si>
  <si>
    <t xml:space="preserve">Goal: Profitable at half-size before full live</t>
  </si>
  <si>
    <t xml:space="preserve">DAYS 61–90  —  FULL SYSTEM — LIVE</t>
  </si>
  <si>
    <t xml:space="preserve">Full 3% risk per trade — compounding active</t>
  </si>
  <si>
    <t xml:space="preserve">Add options CE/PE if paper was profitable</t>
  </si>
  <si>
    <t xml:space="preserve">Only if options paper was 65%+ WR</t>
  </si>
  <si>
    <t xml:space="preserve">Review monthly performance vs projections</t>
  </si>
  <si>
    <t xml:space="preserve">Scale capital when consistently profitable</t>
  </si>
  <si>
    <t xml:space="preserve">2 profitable months minimum</t>
  </si>
  <si>
    <t xml:space="preserve">Never increase size after losses</t>
  </si>
  <si>
    <t xml:space="preserve">Size up only after winning streaks</t>
  </si>
  <si>
    <t xml:space="preserve">Goal: Self-sufficient, rules-based system</t>
  </si>
  <si>
    <t xml:space="preserve">Process &gt; profit always</t>
  </si>
  <si>
    <t xml:space="preserve">📊 MONTHLY INCOME PROJECTION (₹50K capital · 3% risk · 1:1.5 RR)</t>
  </si>
  <si>
    <t xml:space="preserve">Trades/Day</t>
  </si>
  <si>
    <t xml:space="preserve">Days/Month</t>
  </si>
  <si>
    <t xml:space="preserve">Monthly P&amp;L</t>
  </si>
  <si>
    <t xml:space="preserve">Annual P&amp;L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</si>
</sst>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₹#,##0.00"/>
    <numFmt numFmtId="166" formatCode="0.00%"/>
    <numFmt numFmtId="167" formatCode="0.00"/>
    <numFmt numFmtId="168" formatCode="dd\-mmm\-yy"/>
    <numFmt numFmtId="169" formatCode="General"/>
    <numFmt numFmtId="170" formatCode="\₹#,##0"/>
    <numFmt numFmtId="171" formatCode="0.0%"/>
    <numFmt numFmtId="172" formatCode="0.0\x"/>
    <numFmt numFmtId="173" formatCode="0"/>
    <numFmt numFmtId="174" formatCode="0%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64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155724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sz val="10"/>
      <color rgb="FF721C24"/>
      <name val="Arial"/>
      <family val="0"/>
      <charset val="1"/>
    </font>
    <font>
      <sz val="14"/>
      <color rgb="FF000000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1"/>
      <color rgb="FF0F3460"/>
      <name val="Arial"/>
      <family val="0"/>
      <charset val="1"/>
    </font>
    <font>
      <b val="true"/>
      <sz val="11"/>
      <color rgb="FF155724"/>
      <name val="Arial"/>
      <family val="0"/>
      <charset val="1"/>
    </font>
    <font>
      <b val="true"/>
      <sz val="11"/>
      <color rgb="FF721C24"/>
      <name val="Arial"/>
      <family val="0"/>
      <charset val="1"/>
    </font>
    <font>
      <b val="true"/>
      <sz val="10"/>
      <color rgb="FF0F346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155724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2C3E50"/>
      </patternFill>
    </fill>
    <fill>
      <patternFill patternType="solid">
        <fgColor rgb="FFF2F2F2"/>
        <bgColor rgb="FFEFEFEF"/>
      </patternFill>
    </fill>
    <fill>
      <patternFill patternType="solid">
        <fgColor rgb="FFD4EDDA"/>
        <bgColor rgb="FFEFEFEF"/>
      </patternFill>
    </fill>
    <fill>
      <patternFill patternType="solid">
        <fgColor rgb="FFFFF3CD"/>
        <bgColor rgb="FFFFFDF0"/>
      </patternFill>
    </fill>
    <fill>
      <patternFill patternType="solid">
        <fgColor rgb="FFF8D7DA"/>
        <bgColor rgb="FFEFEFEF"/>
      </patternFill>
    </fill>
    <fill>
      <patternFill patternType="solid">
        <fgColor rgb="FFFFFFFF"/>
        <bgColor rgb="FFFFFDF5"/>
      </patternFill>
    </fill>
    <fill>
      <patternFill patternType="solid">
        <fgColor rgb="FFFFFDF5"/>
        <bgColor rgb="FFFFFDF0"/>
      </patternFill>
    </fill>
    <fill>
      <patternFill patternType="solid">
        <fgColor rgb="FFEFEFEF"/>
        <bgColor rgb="FFF2F2F2"/>
      </patternFill>
    </fill>
    <fill>
      <patternFill patternType="solid">
        <fgColor rgb="FFFFFDF0"/>
        <bgColor rgb="FFFFFDF5"/>
      </patternFill>
    </fill>
    <fill>
      <patternFill patternType="solid">
        <fgColor rgb="FF27AE60"/>
        <bgColor rgb="FF0F7B45"/>
      </patternFill>
    </fill>
    <fill>
      <patternFill patternType="solid">
        <fgColor rgb="FF2980B9"/>
        <bgColor rgb="FF0D7377"/>
      </patternFill>
    </fill>
    <fill>
      <patternFill patternType="solid">
        <fgColor rgb="FF8E44AD"/>
        <bgColor rgb="FF666666"/>
      </patternFill>
    </fill>
    <fill>
      <patternFill patternType="solid">
        <fgColor rgb="FF0D7377"/>
        <bgColor rgb="FF0F7B45"/>
      </patternFill>
    </fill>
    <fill>
      <patternFill patternType="solid">
        <fgColor rgb="FFB22222"/>
        <bgColor rgb="FFC62A2A"/>
      </patternFill>
    </fill>
    <fill>
      <patternFill patternType="solid">
        <fgColor rgb="FF0F7B45"/>
        <bgColor rgb="FF0D7377"/>
      </patternFill>
    </fill>
    <fill>
      <patternFill patternType="solid">
        <fgColor rgb="FFB8860B"/>
        <bgColor rgb="FFFF9900"/>
      </patternFill>
    </fill>
    <fill>
      <patternFill patternType="solid">
        <fgColor rgb="FFC62A2A"/>
        <bgColor rgb="FFB22222"/>
      </patternFill>
    </fill>
    <fill>
      <patternFill patternType="solid">
        <fgColor rgb="FF2C3E50"/>
        <bgColor rgb="FF0F3460"/>
      </patternFill>
    </fill>
    <fill>
      <patternFill patternType="solid">
        <fgColor rgb="FF1A5276"/>
        <bgColor rgb="FF0B5345"/>
      </patternFill>
    </fill>
    <fill>
      <patternFill patternType="solid">
        <fgColor rgb="FF0B5345"/>
        <bgColor rgb="FF15572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6400"/>
      <rgbColor rgb="FF0B5345"/>
      <rgbColor rgb="FFB8860B"/>
      <rgbColor rgb="FF800080"/>
      <rgbColor rgb="FF0D7377"/>
      <rgbColor rgb="FFC0C0C0"/>
      <rgbColor rgb="FF888888"/>
      <rgbColor rgb="FF9999FF"/>
      <rgbColor rgb="FF8E44AD"/>
      <rgbColor rgb="FFFFF3CD"/>
      <rgbColor rgb="FFEFEFEF"/>
      <rgbColor rgb="FF660066"/>
      <rgbColor rgb="FFFF8080"/>
      <rgbColor rgb="FF2980B9"/>
      <rgbColor rgb="FFFFFDF5"/>
      <rgbColor rgb="FF000080"/>
      <rgbColor rgb="FFFF00FF"/>
      <rgbColor rgb="FFFFFF00"/>
      <rgbColor rgb="FF00FFFF"/>
      <rgbColor rgb="FF800080"/>
      <rgbColor rgb="FF800000"/>
      <rgbColor rgb="FF0F7B45"/>
      <rgbColor rgb="FF0000FF"/>
      <rgbColor rgb="FF00CCFF"/>
      <rgbColor rgb="FFF2F2F2"/>
      <rgbColor rgb="FFD4EDDA"/>
      <rgbColor rgb="FFFFFDF0"/>
      <rgbColor rgb="FF99CCFF"/>
      <rgbColor rgb="FFFF99CC"/>
      <rgbColor rgb="FFCC99FF"/>
      <rgbColor rgb="FFF8D7DA"/>
      <rgbColor rgb="FF555555"/>
      <rgbColor rgb="FF33CCCC"/>
      <rgbColor rgb="FF99CC00"/>
      <rgbColor rgb="FFFFCC00"/>
      <rgbColor rgb="FFFF9900"/>
      <rgbColor rgb="FFFF6600"/>
      <rgbColor rgb="FF666666"/>
      <rgbColor rgb="FFAAAAAA"/>
      <rgbColor rgb="FF0F3460"/>
      <rgbColor rgb="FF27AE60"/>
      <rgbColor rgb="FF155724"/>
      <rgbColor rgb="FF1A1A2E"/>
      <rgbColor rgb="FFB22222"/>
      <rgbColor rgb="FFC62A2A"/>
      <rgbColor rgb="FF1A5276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4" min="3" style="1" width="22"/>
    <col collapsed="false" customWidth="true" hidden="false" outlineLevel="0" max="5" min="5" style="1" width="16"/>
    <col collapsed="false" customWidth="true" hidden="false" outlineLevel="0" max="7" min="6" style="1" width="20"/>
    <col collapsed="false" customWidth="true" hidden="false" outlineLevel="0" max="8" min="8" style="1" width="16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31.5" hidden="false" customHeight="true" outlineLevel="0" collapsed="false">
      <c r="A5" s="5" t="str">
        <f aca="false">'📝 Trade Log'!N2</f>
        <v>Growth %</v>
      </c>
      <c r="B5" s="5" t="n">
        <f aca="true">SUMIF('📝 Trade Log'!A:A,TODAY(),'📝 Trade Log'!L:L)</f>
        <v>2250</v>
      </c>
      <c r="C5" s="5" t="n">
        <f aca="true">SUMPRODUCT((ISNUMBER('📝 Trade Log'!A3:A502))*('📝 Trade Log'!A3:A502&gt;=TODAY()-WEEKDAY(TODAY(),2)+1)*('📝 Trade Log'!A3:A502&lt;=TODAY())*('📝 Trade Log'!L3:L502))</f>
        <v>2250</v>
      </c>
      <c r="D5" s="5" t="n">
        <f aca="true">IFERROR(SUMPRODUCT((MONTH(IF(ISNUMBER('📝 Trade Log'!A3:A502),'📝 Trade Log'!A3:A502,0))=MONTH(TODAY()))*(YEAR(IF(ISNUMBER('📝 Trade Log'!A3:A502),'📝 Trade Log'!A3:A502,0))=YEAR(TODAY()))*('📝 Trade Log'!L3:L502)),0)</f>
        <v>2250</v>
      </c>
      <c r="E5" s="6" t="n">
        <f aca="false">IFERROR(COUNTIF('📝 Trade Log'!K2:K500,"WIN")/COUNTA('📝 Trade Log'!K2:K500),0)</f>
        <v>0.5</v>
      </c>
      <c r="F5" s="5" t="n">
        <f aca="false">'📝 Trade Log'!M3*0.03</f>
        <v>1567.5</v>
      </c>
      <c r="G5" s="5" t="n">
        <f aca="false">MIN('📝 Trade Log'!N2:N500)-MAX('📝 Trade Log'!N2:N500)</f>
        <v>0</v>
      </c>
      <c r="H5" s="7" t="n">
        <f aca="false">IFERROR(SUMIF('📝 Trade Log'!K2:K500,"WIN",'📝 Trade Log'!L2:L500)/ABS(SUMIF('📝 Trade Log'!K2:K500,"LOSS",'📝 Trade Log'!L2:L500)),0)</f>
        <v>0</v>
      </c>
    </row>
    <row r="7" customFormat="false" ht="7.5" hidden="false" customHeight="true" outlineLevel="0" collapsed="false"/>
    <row r="8" customFormat="false" ht="15" hidden="false" customHeight="true" outlineLevel="0" collapsed="false">
      <c r="A8" s="8" t="s">
        <v>10</v>
      </c>
      <c r="B8" s="8"/>
      <c r="C8" s="8"/>
      <c r="D8" s="8"/>
      <c r="E8" s="8" t="s">
        <v>11</v>
      </c>
      <c r="F8" s="8"/>
      <c r="G8" s="8"/>
      <c r="H8" s="8"/>
    </row>
    <row r="9" customFormat="false" ht="15" hidden="false" customHeight="true" outlineLevel="0" collapsed="false">
      <c r="A9" s="9" t="s">
        <v>12</v>
      </c>
      <c r="B9" s="9" t="s">
        <v>13</v>
      </c>
      <c r="C9" s="9" t="s">
        <v>14</v>
      </c>
      <c r="D9" s="9" t="s">
        <v>15</v>
      </c>
    </row>
    <row r="10" customFormat="false" ht="23.25" hidden="false" customHeight="true" outlineLevel="0" collapsed="false">
      <c r="A10" s="10" t="s">
        <v>16</v>
      </c>
      <c r="B10" s="11" t="s">
        <v>17</v>
      </c>
      <c r="C10" s="11" t="s">
        <v>18</v>
      </c>
      <c r="D10" s="10" t="s">
        <v>19</v>
      </c>
      <c r="E10" s="12" t="s">
        <v>20</v>
      </c>
      <c r="F10" s="10" t="s">
        <v>21</v>
      </c>
      <c r="G10" s="11" t="s">
        <v>22</v>
      </c>
      <c r="H10" s="11"/>
    </row>
    <row r="11" customFormat="false" ht="23.25" hidden="false" customHeight="true" outlineLevel="0" collapsed="false">
      <c r="A11" s="10" t="s">
        <v>23</v>
      </c>
      <c r="B11" s="11" t="s">
        <v>24</v>
      </c>
      <c r="C11" s="11" t="s">
        <v>25</v>
      </c>
      <c r="D11" s="10" t="s">
        <v>19</v>
      </c>
      <c r="E11" s="13" t="s">
        <v>26</v>
      </c>
      <c r="F11" s="14" t="s">
        <v>27</v>
      </c>
      <c r="G11" s="15" t="s">
        <v>28</v>
      </c>
      <c r="H11" s="15"/>
    </row>
    <row r="12" customFormat="false" ht="23.25" hidden="false" customHeight="true" outlineLevel="0" collapsed="false">
      <c r="A12" s="16" t="s">
        <v>29</v>
      </c>
      <c r="B12" s="17" t="s">
        <v>30</v>
      </c>
      <c r="C12" s="17" t="s">
        <v>31</v>
      </c>
      <c r="D12" s="16" t="s">
        <v>32</v>
      </c>
      <c r="E12" s="12" t="s">
        <v>33</v>
      </c>
      <c r="F12" s="10" t="s">
        <v>34</v>
      </c>
      <c r="G12" s="11" t="s">
        <v>35</v>
      </c>
      <c r="H12" s="11"/>
    </row>
    <row r="13" customFormat="false" ht="23.25" hidden="false" customHeight="true" outlineLevel="0" collapsed="false">
      <c r="A13" s="14" t="s">
        <v>36</v>
      </c>
      <c r="B13" s="15" t="s">
        <v>37</v>
      </c>
      <c r="C13" s="15" t="s">
        <v>38</v>
      </c>
      <c r="D13" s="14" t="s">
        <v>39</v>
      </c>
      <c r="E13" s="18" t="s">
        <v>40</v>
      </c>
      <c r="F13" s="16" t="s">
        <v>41</v>
      </c>
      <c r="G13" s="17" t="s">
        <v>42</v>
      </c>
      <c r="H13" s="17"/>
    </row>
    <row r="14" customFormat="false" ht="15" hidden="false" customHeight="true" outlineLevel="0" collapsed="false">
      <c r="A14" s="16" t="s">
        <v>43</v>
      </c>
      <c r="B14" s="17" t="s">
        <v>44</v>
      </c>
      <c r="C14" s="17" t="s">
        <v>45</v>
      </c>
      <c r="D14" s="16" t="s">
        <v>32</v>
      </c>
      <c r="E14" s="13" t="s">
        <v>46</v>
      </c>
      <c r="F14" s="14" t="s">
        <v>47</v>
      </c>
      <c r="G14" s="15" t="s">
        <v>48</v>
      </c>
      <c r="H14" s="15"/>
    </row>
    <row r="17" customFormat="false" ht="7.5" hidden="false" customHeight="true" outlineLevel="0" collapsed="false"/>
    <row r="18" customFormat="false" ht="15" hidden="false" customHeight="true" outlineLevel="0" collapsed="false">
      <c r="A18" s="19" t="s">
        <v>49</v>
      </c>
      <c r="B18" s="19"/>
      <c r="C18" s="19"/>
      <c r="D18" s="19"/>
      <c r="E18" s="19"/>
      <c r="F18" s="19"/>
      <c r="G18" s="19"/>
      <c r="H18" s="19"/>
    </row>
    <row r="19" customFormat="false" ht="18" hidden="false" customHeight="true" outlineLevel="0" collapsed="false">
      <c r="A19" s="20" t="s">
        <v>50</v>
      </c>
      <c r="B19" s="20"/>
      <c r="C19" s="20"/>
      <c r="D19" s="20"/>
      <c r="E19" s="20"/>
      <c r="F19" s="20"/>
      <c r="G19" s="20"/>
      <c r="H19" s="20"/>
    </row>
    <row r="20" customFormat="false" ht="18" hidden="false" customHeight="true" outlineLevel="0" collapsed="false">
      <c r="A20" s="21" t="s">
        <v>51</v>
      </c>
      <c r="B20" s="21"/>
      <c r="C20" s="21"/>
      <c r="D20" s="21"/>
      <c r="E20" s="21"/>
      <c r="F20" s="21"/>
      <c r="G20" s="21"/>
      <c r="H20" s="21"/>
    </row>
    <row r="21" customFormat="false" ht="18" hidden="false" customHeight="true" outlineLevel="0" collapsed="false">
      <c r="A21" s="22" t="s">
        <v>52</v>
      </c>
      <c r="B21" s="22"/>
      <c r="C21" s="22"/>
      <c r="D21" s="22"/>
      <c r="E21" s="22"/>
      <c r="F21" s="22"/>
      <c r="G21" s="22"/>
      <c r="H21" s="22"/>
    </row>
    <row r="22" customFormat="false" ht="18" hidden="false" customHeight="true" outlineLevel="0" collapsed="false">
      <c r="A22" s="23" t="s">
        <v>53</v>
      </c>
      <c r="B22" s="23"/>
      <c r="C22" s="23"/>
      <c r="D22" s="23"/>
      <c r="E22" s="23"/>
      <c r="F22" s="23"/>
      <c r="G22" s="23"/>
      <c r="H22" s="23"/>
    </row>
    <row r="23" customFormat="false" ht="18" hidden="false" customHeight="true" outlineLevel="0" collapsed="false">
      <c r="A23" s="22" t="s">
        <v>54</v>
      </c>
      <c r="B23" s="22"/>
      <c r="C23" s="22"/>
      <c r="D23" s="22"/>
      <c r="E23" s="22"/>
      <c r="F23" s="22"/>
      <c r="G23" s="22"/>
      <c r="H23" s="22"/>
    </row>
    <row r="24" customFormat="false" ht="18" hidden="false" customHeight="true" outlineLevel="0" collapsed="false">
      <c r="A24" s="21" t="s">
        <v>55</v>
      </c>
      <c r="B24" s="21"/>
      <c r="C24" s="21"/>
      <c r="D24" s="21"/>
      <c r="E24" s="21"/>
      <c r="F24" s="21"/>
      <c r="G24" s="21"/>
      <c r="H24" s="21"/>
    </row>
    <row r="25" customFormat="false" ht="18" hidden="false" customHeight="true" outlineLevel="0" collapsed="false">
      <c r="A25" s="20" t="s">
        <v>56</v>
      </c>
      <c r="B25" s="20"/>
      <c r="C25" s="20"/>
      <c r="D25" s="20"/>
      <c r="E25" s="20"/>
      <c r="F25" s="20"/>
      <c r="G25" s="20"/>
      <c r="H25" s="20"/>
    </row>
    <row r="26" customFormat="false" ht="18" hidden="false" customHeight="true" outlineLevel="0" collapsed="false">
      <c r="A26" s="21" t="s">
        <v>57</v>
      </c>
      <c r="B26" s="21"/>
      <c r="C26" s="21"/>
      <c r="D26" s="21"/>
      <c r="E26" s="21"/>
      <c r="F26" s="21"/>
      <c r="G26" s="21"/>
      <c r="H26" s="21"/>
    </row>
    <row r="27" customFormat="false" ht="18" hidden="false" customHeight="true" outlineLevel="0" collapsed="false">
      <c r="A27" s="22" t="s">
        <v>58</v>
      </c>
      <c r="B27" s="22"/>
      <c r="C27" s="22"/>
      <c r="D27" s="22"/>
      <c r="E27" s="22"/>
      <c r="F27" s="22"/>
      <c r="G27" s="22"/>
      <c r="H27" s="22"/>
    </row>
    <row r="28" customFormat="false" ht="18" hidden="false" customHeight="true" outlineLevel="0" collapsed="false">
      <c r="A28" s="23" t="s">
        <v>59</v>
      </c>
      <c r="B28" s="23"/>
      <c r="C28" s="23"/>
      <c r="D28" s="23"/>
      <c r="E28" s="23"/>
      <c r="F28" s="23"/>
      <c r="G28" s="23"/>
      <c r="H28" s="23"/>
    </row>
  </sheetData>
  <mergeCells count="15">
    <mergeCell ref="A1:H1"/>
    <mergeCell ref="A2:H2"/>
    <mergeCell ref="A8:D8"/>
    <mergeCell ref="E8:H8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7" min="4" style="1" width="12"/>
    <col collapsed="false" customWidth="true" hidden="false" outlineLevel="0" max="8" min="8" style="1" width="8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4" min="13" style="1" width="14"/>
    <col collapsed="false" customWidth="true" hidden="false" outlineLevel="0" max="15" min="15" style="1" width="25"/>
  </cols>
  <sheetData>
    <row r="1" customFormat="false" ht="30" hidden="false" customHeight="true" outlineLevel="0" collapsed="false">
      <c r="A1" s="24" t="s">
        <v>60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customFormat="false" ht="15" hidden="false" customHeight="true" outlineLevel="0" collapsed="false">
      <c r="A2" s="9" t="s">
        <v>61</v>
      </c>
      <c r="B2" s="9" t="s">
        <v>62</v>
      </c>
      <c r="C2" s="9" t="s">
        <v>63</v>
      </c>
      <c r="D2" s="9" t="s">
        <v>64</v>
      </c>
      <c r="E2" s="9" t="s">
        <v>65</v>
      </c>
      <c r="F2" s="9" t="s">
        <v>66</v>
      </c>
      <c r="G2" s="9" t="s">
        <v>67</v>
      </c>
      <c r="H2" s="9" t="s">
        <v>68</v>
      </c>
      <c r="I2" s="9" t="s">
        <v>69</v>
      </c>
      <c r="J2" s="9" t="s">
        <v>70</v>
      </c>
      <c r="K2" s="9" t="s">
        <v>71</v>
      </c>
      <c r="L2" s="9" t="s">
        <v>72</v>
      </c>
      <c r="M2" s="9" t="s">
        <v>73</v>
      </c>
      <c r="N2" s="9" t="s">
        <v>74</v>
      </c>
      <c r="O2" s="9" t="s">
        <v>75</v>
      </c>
    </row>
    <row r="3" customFormat="false" ht="18" hidden="false" customHeight="true" outlineLevel="0" collapsed="false">
      <c r="A3" s="25" t="n">
        <v>46110</v>
      </c>
      <c r="B3" s="26" t="s">
        <v>76</v>
      </c>
      <c r="C3" s="27" t="s">
        <v>77</v>
      </c>
      <c r="D3" s="26" t="s">
        <v>78</v>
      </c>
      <c r="E3" s="28" t="n">
        <v>21500</v>
      </c>
      <c r="F3" s="28" t="n">
        <v>21430</v>
      </c>
      <c r="G3" s="29" t="n">
        <f aca="false">IFERROR(IF(D3="LONG",E3+1.5*(E3-F3),E3-1.5*(F3-E3)),"")</f>
        <v>21605</v>
      </c>
      <c r="H3" s="30" t="n">
        <f aca="false">IFERROR(ROUND(I3/(E3-F3),0),"")</f>
        <v>21</v>
      </c>
      <c r="I3" s="29" t="n">
        <f aca="false">50000*0.03</f>
        <v>1500</v>
      </c>
      <c r="J3" s="29" t="n">
        <f aca="false">I3*1.5</f>
        <v>2250</v>
      </c>
      <c r="K3" s="31" t="s">
        <v>79</v>
      </c>
      <c r="L3" s="29" t="n">
        <f aca="false">IFERROR(IF(K3="WIN",J3,IF(K3="LOSS",-I3,0)),"")</f>
        <v>2250</v>
      </c>
      <c r="M3" s="32" t="n">
        <f aca="false">IFERROR(50000+L3,50000)</f>
        <v>52250</v>
      </c>
      <c r="N3" s="33" t="n">
        <f aca="false">IFERROR((M3-50000)/50000,0)</f>
        <v>0.045</v>
      </c>
      <c r="O3" s="34" t="s">
        <v>80</v>
      </c>
    </row>
    <row r="4" customFormat="false" ht="18" hidden="false" customHeight="true" outlineLevel="0" collapsed="false">
      <c r="A4" s="35"/>
      <c r="B4" s="35"/>
      <c r="C4" s="36"/>
      <c r="D4" s="35"/>
      <c r="E4" s="37"/>
      <c r="F4" s="37"/>
      <c r="G4" s="29" t="n">
        <f aca="false">IFERROR(IF(D4="LONG",E4+1.5*(E4-F4),E4-1.5*(F4-E4)),"")</f>
        <v>0</v>
      </c>
      <c r="H4" s="30" t="str">
        <f aca="false">IFERROR(ROUND(I4/(E4-F4),0),"")</f>
        <v/>
      </c>
      <c r="I4" s="29" t="n">
        <f aca="false">M3*0.03</f>
        <v>1567.5</v>
      </c>
      <c r="J4" s="29" t="n">
        <f aca="false">I4*1.5</f>
        <v>2351.25</v>
      </c>
      <c r="K4" s="35"/>
      <c r="L4" s="29" t="n">
        <f aca="false">IFERROR(IF(K4="WIN",J4,IF(K4="LOSS",-I4,0)),"")</f>
        <v>0</v>
      </c>
      <c r="M4" s="32" t="n">
        <f aca="false">IFERROR(M3+L4,M3)</f>
        <v>52250</v>
      </c>
      <c r="N4" s="33" t="n">
        <f aca="false">IFERROR((M4-50000)/50000,0)</f>
        <v>0.045</v>
      </c>
      <c r="O4" s="38"/>
    </row>
    <row r="5" customFormat="false" ht="18" hidden="false" customHeight="true" outlineLevel="0" collapsed="false">
      <c r="A5" s="26"/>
      <c r="B5" s="26"/>
      <c r="C5" s="27"/>
      <c r="D5" s="26"/>
      <c r="E5" s="39"/>
      <c r="F5" s="39"/>
      <c r="G5" s="29" t="n">
        <f aca="false">IFERROR(IF(D5="LONG",E5+1.5*(E5-F5),E5-1.5*(F5-E5)),"")</f>
        <v>0</v>
      </c>
      <c r="H5" s="30" t="str">
        <f aca="false">IFERROR(ROUND(I5/(E5-F5),0),"")</f>
        <v/>
      </c>
      <c r="I5" s="29" t="n">
        <f aca="false">M4*0.03</f>
        <v>1567.5</v>
      </c>
      <c r="J5" s="29" t="n">
        <f aca="false">I5*1.5</f>
        <v>2351.25</v>
      </c>
      <c r="K5" s="26"/>
      <c r="L5" s="29" t="n">
        <f aca="false">IFERROR(IF(K5="WIN",J5,IF(K5="LOSS",-I5,0)),"")</f>
        <v>0</v>
      </c>
      <c r="M5" s="32" t="n">
        <f aca="false">IFERROR(M4+L5,M4)</f>
        <v>52250</v>
      </c>
      <c r="N5" s="33" t="n">
        <f aca="false">IFERROR((M5-50000)/50000,0)</f>
        <v>0.045</v>
      </c>
      <c r="O5" s="34"/>
    </row>
    <row r="6" customFormat="false" ht="18" hidden="false" customHeight="true" outlineLevel="0" collapsed="false">
      <c r="A6" s="35"/>
      <c r="B6" s="35"/>
      <c r="C6" s="36"/>
      <c r="D6" s="35"/>
      <c r="E6" s="37"/>
      <c r="F6" s="37"/>
      <c r="G6" s="29" t="n">
        <f aca="false">IFERROR(IF(D6="LONG",E6+1.5*(E6-F6),E6-1.5*(F6-E6)),"")</f>
        <v>0</v>
      </c>
      <c r="H6" s="30" t="str">
        <f aca="false">IFERROR(ROUND(I6/(E6-F6),0),"")</f>
        <v/>
      </c>
      <c r="I6" s="29" t="n">
        <f aca="false">M5*0.03</f>
        <v>1567.5</v>
      </c>
      <c r="J6" s="29" t="n">
        <f aca="false">I6*1.5</f>
        <v>2351.25</v>
      </c>
      <c r="K6" s="35"/>
      <c r="L6" s="29" t="n">
        <f aca="false">IFERROR(IF(K6="WIN",J6,IF(K6="LOSS",-I6,0)),"")</f>
        <v>0</v>
      </c>
      <c r="M6" s="32" t="n">
        <f aca="false">IFERROR(M5+L6,M5)</f>
        <v>52250</v>
      </c>
      <c r="N6" s="33" t="n">
        <f aca="false">IFERROR((M6-50000)/50000,0)</f>
        <v>0.045</v>
      </c>
      <c r="O6" s="38"/>
    </row>
    <row r="7" customFormat="false" ht="18" hidden="false" customHeight="true" outlineLevel="0" collapsed="false">
      <c r="A7" s="26"/>
      <c r="B7" s="26"/>
      <c r="C7" s="27"/>
      <c r="D7" s="26"/>
      <c r="E7" s="39"/>
      <c r="F7" s="39"/>
      <c r="G7" s="29" t="n">
        <f aca="false">IFERROR(IF(D7="LONG",E7+1.5*(E7-F7),E7-1.5*(F7-E7)),"")</f>
        <v>0</v>
      </c>
      <c r="H7" s="30" t="str">
        <f aca="false">IFERROR(ROUND(I7/(E7-F7),0),"")</f>
        <v/>
      </c>
      <c r="I7" s="29" t="n">
        <f aca="false">M6*0.03</f>
        <v>1567.5</v>
      </c>
      <c r="J7" s="29" t="n">
        <f aca="false">I7*1.5</f>
        <v>2351.25</v>
      </c>
      <c r="K7" s="26"/>
      <c r="L7" s="29" t="n">
        <f aca="false">IFERROR(IF(K7="WIN",J7,IF(K7="LOSS",-I7,0)),"")</f>
        <v>0</v>
      </c>
      <c r="M7" s="32" t="n">
        <f aca="false">IFERROR(M6+L7,M6)</f>
        <v>52250</v>
      </c>
      <c r="N7" s="33" t="n">
        <f aca="false">IFERROR((M7-50000)/50000,0)</f>
        <v>0.045</v>
      </c>
      <c r="O7" s="34"/>
    </row>
    <row r="8" customFormat="false" ht="18" hidden="false" customHeight="true" outlineLevel="0" collapsed="false">
      <c r="A8" s="35"/>
      <c r="B8" s="35"/>
      <c r="C8" s="36"/>
      <c r="D8" s="35"/>
      <c r="E8" s="37"/>
      <c r="F8" s="37"/>
      <c r="G8" s="29" t="n">
        <f aca="false">IFERROR(IF(D8="LONG",E8+1.5*(E8-F8),E8-1.5*(F8-E8)),"")</f>
        <v>0</v>
      </c>
      <c r="H8" s="30" t="str">
        <f aca="false">IFERROR(ROUND(I8/(E8-F8),0),"")</f>
        <v/>
      </c>
      <c r="I8" s="29" t="n">
        <f aca="false">M7*0.03</f>
        <v>1567.5</v>
      </c>
      <c r="J8" s="29" t="n">
        <f aca="false">I8*1.5</f>
        <v>2351.25</v>
      </c>
      <c r="K8" s="35"/>
      <c r="L8" s="29" t="n">
        <f aca="false">IFERROR(IF(K8="WIN",J8,IF(K8="LOSS",-I8,0)),"")</f>
        <v>0</v>
      </c>
      <c r="M8" s="32" t="n">
        <f aca="false">IFERROR(M7+L8,M7)</f>
        <v>52250</v>
      </c>
      <c r="N8" s="33" t="n">
        <f aca="false">IFERROR((M8-50000)/50000,0)</f>
        <v>0.045</v>
      </c>
      <c r="O8" s="38"/>
    </row>
    <row r="9" customFormat="false" ht="18" hidden="false" customHeight="true" outlineLevel="0" collapsed="false">
      <c r="A9" s="26"/>
      <c r="B9" s="26"/>
      <c r="C9" s="27"/>
      <c r="D9" s="26"/>
      <c r="E9" s="39"/>
      <c r="F9" s="39"/>
      <c r="G9" s="29" t="n">
        <f aca="false">IFERROR(IF(D9="LONG",E9+1.5*(E9-F9),E9-1.5*(F9-E9)),"")</f>
        <v>0</v>
      </c>
      <c r="H9" s="30" t="str">
        <f aca="false">IFERROR(ROUND(I9/(E9-F9),0),"")</f>
        <v/>
      </c>
      <c r="I9" s="29" t="n">
        <f aca="false">M8*0.03</f>
        <v>1567.5</v>
      </c>
      <c r="J9" s="29" t="n">
        <f aca="false">I9*1.5</f>
        <v>2351.25</v>
      </c>
      <c r="K9" s="26"/>
      <c r="L9" s="29" t="n">
        <f aca="false">IFERROR(IF(K9="WIN",J9,IF(K9="LOSS",-I9,0)),"")</f>
        <v>0</v>
      </c>
      <c r="M9" s="32" t="n">
        <f aca="false">IFERROR(M8+L9,M8)</f>
        <v>52250</v>
      </c>
      <c r="N9" s="33" t="n">
        <f aca="false">IFERROR((M9-50000)/50000,0)</f>
        <v>0.045</v>
      </c>
      <c r="O9" s="34"/>
    </row>
    <row r="10" customFormat="false" ht="18" hidden="false" customHeight="true" outlineLevel="0" collapsed="false">
      <c r="A10" s="35"/>
      <c r="B10" s="35"/>
      <c r="C10" s="36"/>
      <c r="D10" s="35"/>
      <c r="E10" s="37"/>
      <c r="F10" s="37"/>
      <c r="G10" s="29" t="n">
        <f aca="false">IFERROR(IF(D10="LONG",E10+1.5*(E10-F10),E10-1.5*(F10-E10)),"")</f>
        <v>0</v>
      </c>
      <c r="H10" s="30" t="str">
        <f aca="false">IFERROR(ROUND(I10/(E10-F10),0),"")</f>
        <v/>
      </c>
      <c r="I10" s="29" t="n">
        <f aca="false">M9*0.03</f>
        <v>1567.5</v>
      </c>
      <c r="J10" s="29" t="n">
        <f aca="false">I10*1.5</f>
        <v>2351.25</v>
      </c>
      <c r="K10" s="35"/>
      <c r="L10" s="29" t="n">
        <f aca="false">IFERROR(IF(K10="WIN",J10,IF(K10="LOSS",-I10,0)),"")</f>
        <v>0</v>
      </c>
      <c r="M10" s="32" t="n">
        <f aca="false">IFERROR(M9+L10,M9)</f>
        <v>52250</v>
      </c>
      <c r="N10" s="33" t="n">
        <f aca="false">IFERROR((M10-50000)/50000,0)</f>
        <v>0.045</v>
      </c>
      <c r="O10" s="38"/>
    </row>
    <row r="11" customFormat="false" ht="18" hidden="false" customHeight="true" outlineLevel="0" collapsed="false">
      <c r="A11" s="26"/>
      <c r="B11" s="26"/>
      <c r="C11" s="27"/>
      <c r="D11" s="26"/>
      <c r="E11" s="39"/>
      <c r="F11" s="39"/>
      <c r="G11" s="29" t="n">
        <f aca="false">IFERROR(IF(D11="LONG",E11+1.5*(E11-F11),E11-1.5*(F11-E11)),"")</f>
        <v>0</v>
      </c>
      <c r="H11" s="30" t="str">
        <f aca="false">IFERROR(ROUND(I11/(E11-F11),0),"")</f>
        <v/>
      </c>
      <c r="I11" s="29" t="n">
        <f aca="false">M10*0.03</f>
        <v>1567.5</v>
      </c>
      <c r="J11" s="29" t="n">
        <f aca="false">I11*1.5</f>
        <v>2351.25</v>
      </c>
      <c r="K11" s="26"/>
      <c r="L11" s="29" t="n">
        <f aca="false">IFERROR(IF(K11="WIN",J11,IF(K11="LOSS",-I11,0)),"")</f>
        <v>0</v>
      </c>
      <c r="M11" s="32" t="n">
        <f aca="false">IFERROR(M10+L11,M10)</f>
        <v>52250</v>
      </c>
      <c r="N11" s="33" t="n">
        <f aca="false">IFERROR((M11-50000)/50000,0)</f>
        <v>0.045</v>
      </c>
      <c r="O11" s="34"/>
    </row>
    <row r="12" customFormat="false" ht="18" hidden="false" customHeight="true" outlineLevel="0" collapsed="false">
      <c r="A12" s="35"/>
      <c r="B12" s="35"/>
      <c r="C12" s="36"/>
      <c r="D12" s="35"/>
      <c r="E12" s="37"/>
      <c r="F12" s="37"/>
      <c r="G12" s="29" t="n">
        <f aca="false">IFERROR(IF(D12="LONG",E12+1.5*(E12-F12),E12-1.5*(F12-E12)),"")</f>
        <v>0</v>
      </c>
      <c r="H12" s="30" t="str">
        <f aca="false">IFERROR(ROUND(I12/(E12-F12),0),"")</f>
        <v/>
      </c>
      <c r="I12" s="29" t="n">
        <f aca="false">M11*0.03</f>
        <v>1567.5</v>
      </c>
      <c r="J12" s="29" t="n">
        <f aca="false">I12*1.5</f>
        <v>2351.25</v>
      </c>
      <c r="K12" s="35"/>
      <c r="L12" s="29" t="n">
        <f aca="false">IFERROR(IF(K12="WIN",J12,IF(K12="LOSS",-I12,0)),"")</f>
        <v>0</v>
      </c>
      <c r="M12" s="32" t="n">
        <f aca="false">IFERROR(M11+L12,M11)</f>
        <v>52250</v>
      </c>
      <c r="N12" s="33" t="n">
        <f aca="false">IFERROR((M12-50000)/50000,0)</f>
        <v>0.045</v>
      </c>
      <c r="O12" s="38"/>
    </row>
    <row r="13" customFormat="false" ht="18" hidden="false" customHeight="true" outlineLevel="0" collapsed="false">
      <c r="A13" s="26"/>
      <c r="B13" s="26"/>
      <c r="C13" s="27"/>
      <c r="D13" s="26"/>
      <c r="E13" s="39"/>
      <c r="F13" s="39"/>
      <c r="G13" s="29" t="n">
        <f aca="false">IFERROR(IF(D13="LONG",E13+1.5*(E13-F13),E13-1.5*(F13-E13)),"")</f>
        <v>0</v>
      </c>
      <c r="H13" s="30" t="str">
        <f aca="false">IFERROR(ROUND(I13/(E13-F13),0),"")</f>
        <v/>
      </c>
      <c r="I13" s="29" t="n">
        <f aca="false">M12*0.03</f>
        <v>1567.5</v>
      </c>
      <c r="J13" s="29" t="n">
        <f aca="false">I13*1.5</f>
        <v>2351.25</v>
      </c>
      <c r="K13" s="26"/>
      <c r="L13" s="29" t="n">
        <f aca="false">IFERROR(IF(K13="WIN",J13,IF(K13="LOSS",-I13,0)),"")</f>
        <v>0</v>
      </c>
      <c r="M13" s="32" t="n">
        <f aca="false">IFERROR(M12+L13,M12)</f>
        <v>52250</v>
      </c>
      <c r="N13" s="33" t="n">
        <f aca="false">IFERROR((M13-50000)/50000,0)</f>
        <v>0.045</v>
      </c>
      <c r="O13" s="34"/>
    </row>
    <row r="14" customFormat="false" ht="18" hidden="false" customHeight="true" outlineLevel="0" collapsed="false">
      <c r="A14" s="35"/>
      <c r="B14" s="35"/>
      <c r="C14" s="36"/>
      <c r="D14" s="35"/>
      <c r="E14" s="37"/>
      <c r="F14" s="37"/>
      <c r="G14" s="29" t="n">
        <f aca="false">IFERROR(IF(D14="LONG",E14+1.5*(E14-F14),E14-1.5*(F14-E14)),"")</f>
        <v>0</v>
      </c>
      <c r="H14" s="30" t="str">
        <f aca="false">IFERROR(ROUND(I14/(E14-F14),0),"")</f>
        <v/>
      </c>
      <c r="I14" s="29" t="n">
        <f aca="false">M13*0.03</f>
        <v>1567.5</v>
      </c>
      <c r="J14" s="29" t="n">
        <f aca="false">I14*1.5</f>
        <v>2351.25</v>
      </c>
      <c r="K14" s="35"/>
      <c r="L14" s="29" t="n">
        <f aca="false">IFERROR(IF(K14="WIN",J14,IF(K14="LOSS",-I14,0)),"")</f>
        <v>0</v>
      </c>
      <c r="M14" s="32" t="n">
        <f aca="false">IFERROR(M13+L14,M13)</f>
        <v>52250</v>
      </c>
      <c r="N14" s="33" t="n">
        <f aca="false">IFERROR((M14-50000)/50000,0)</f>
        <v>0.045</v>
      </c>
      <c r="O14" s="38"/>
    </row>
    <row r="15" customFormat="false" ht="18" hidden="false" customHeight="true" outlineLevel="0" collapsed="false">
      <c r="A15" s="26"/>
      <c r="B15" s="26"/>
      <c r="C15" s="27"/>
      <c r="D15" s="26"/>
      <c r="E15" s="39"/>
      <c r="F15" s="39"/>
      <c r="G15" s="29" t="n">
        <f aca="false">IFERROR(IF(D15="LONG",E15+1.5*(E15-F15),E15-1.5*(F15-E15)),"")</f>
        <v>0</v>
      </c>
      <c r="H15" s="30" t="str">
        <f aca="false">IFERROR(ROUND(I15/(E15-F15),0),"")</f>
        <v/>
      </c>
      <c r="I15" s="29" t="n">
        <f aca="false">M14*0.03</f>
        <v>1567.5</v>
      </c>
      <c r="J15" s="29" t="n">
        <f aca="false">I15*1.5</f>
        <v>2351.25</v>
      </c>
      <c r="K15" s="26"/>
      <c r="L15" s="29" t="n">
        <f aca="false">IFERROR(IF(K15="WIN",J15,IF(K15="LOSS",-I15,0)),"")</f>
        <v>0</v>
      </c>
      <c r="M15" s="32" t="n">
        <f aca="false">IFERROR(M14+L15,M14)</f>
        <v>52250</v>
      </c>
      <c r="N15" s="33" t="n">
        <f aca="false">IFERROR((M15-50000)/50000,0)</f>
        <v>0.045</v>
      </c>
      <c r="O15" s="34"/>
    </row>
    <row r="16" customFormat="false" ht="18" hidden="false" customHeight="true" outlineLevel="0" collapsed="false">
      <c r="A16" s="35"/>
      <c r="B16" s="35"/>
      <c r="C16" s="36"/>
      <c r="D16" s="35"/>
      <c r="E16" s="37"/>
      <c r="F16" s="37"/>
      <c r="G16" s="29" t="n">
        <f aca="false">IFERROR(IF(D16="LONG",E16+1.5*(E16-F16),E16-1.5*(F16-E16)),"")</f>
        <v>0</v>
      </c>
      <c r="H16" s="30" t="str">
        <f aca="false">IFERROR(ROUND(I16/(E16-F16),0),"")</f>
        <v/>
      </c>
      <c r="I16" s="29" t="n">
        <f aca="false">M15*0.03</f>
        <v>1567.5</v>
      </c>
      <c r="J16" s="29" t="n">
        <f aca="false">I16*1.5</f>
        <v>2351.25</v>
      </c>
      <c r="K16" s="35"/>
      <c r="L16" s="29" t="n">
        <f aca="false">IFERROR(IF(K16="WIN",J16,IF(K16="LOSS",-I16,0)),"")</f>
        <v>0</v>
      </c>
      <c r="M16" s="32" t="n">
        <f aca="false">IFERROR(M15+L16,M15)</f>
        <v>52250</v>
      </c>
      <c r="N16" s="33" t="n">
        <f aca="false">IFERROR((M16-50000)/50000,0)</f>
        <v>0.045</v>
      </c>
      <c r="O16" s="38"/>
    </row>
    <row r="17" customFormat="false" ht="18" hidden="false" customHeight="true" outlineLevel="0" collapsed="false">
      <c r="A17" s="26"/>
      <c r="B17" s="26"/>
      <c r="C17" s="27"/>
      <c r="D17" s="26"/>
      <c r="E17" s="39"/>
      <c r="F17" s="39"/>
      <c r="G17" s="29" t="n">
        <f aca="false">IFERROR(IF(D17="LONG",E17+1.5*(E17-F17),E17-1.5*(F17-E17)),"")</f>
        <v>0</v>
      </c>
      <c r="H17" s="30" t="str">
        <f aca="false">IFERROR(ROUND(I17/(E17-F17),0),"")</f>
        <v/>
      </c>
      <c r="I17" s="29" t="n">
        <f aca="false">M16*0.03</f>
        <v>1567.5</v>
      </c>
      <c r="J17" s="29" t="n">
        <f aca="false">I17*1.5</f>
        <v>2351.25</v>
      </c>
      <c r="K17" s="26"/>
      <c r="L17" s="29" t="n">
        <f aca="false">IFERROR(IF(K17="WIN",J17,IF(K17="LOSS",-I17,0)),"")</f>
        <v>0</v>
      </c>
      <c r="M17" s="32" t="n">
        <f aca="false">IFERROR(M16+L17,M16)</f>
        <v>52250</v>
      </c>
      <c r="N17" s="33" t="n">
        <f aca="false">IFERROR((M17-50000)/50000,0)</f>
        <v>0.045</v>
      </c>
      <c r="O17" s="34"/>
    </row>
    <row r="18" customFormat="false" ht="18" hidden="false" customHeight="true" outlineLevel="0" collapsed="false">
      <c r="A18" s="35"/>
      <c r="B18" s="35"/>
      <c r="C18" s="36"/>
      <c r="D18" s="35"/>
      <c r="E18" s="37"/>
      <c r="F18" s="37"/>
      <c r="G18" s="29" t="n">
        <f aca="false">IFERROR(IF(D18="LONG",E18+1.5*(E18-F18),E18-1.5*(F18-E18)),"")</f>
        <v>0</v>
      </c>
      <c r="H18" s="30" t="str">
        <f aca="false">IFERROR(ROUND(I18/(E18-F18),0),"")</f>
        <v/>
      </c>
      <c r="I18" s="29" t="n">
        <f aca="false">M17*0.03</f>
        <v>1567.5</v>
      </c>
      <c r="J18" s="29" t="n">
        <f aca="false">I18*1.5</f>
        <v>2351.25</v>
      </c>
      <c r="K18" s="35"/>
      <c r="L18" s="29" t="n">
        <f aca="false">IFERROR(IF(K18="WIN",J18,IF(K18="LOSS",-I18,0)),"")</f>
        <v>0</v>
      </c>
      <c r="M18" s="32" t="n">
        <f aca="false">IFERROR(M17+L18,M17)</f>
        <v>52250</v>
      </c>
      <c r="N18" s="33" t="n">
        <f aca="false">IFERROR((M18-50000)/50000,0)</f>
        <v>0.045</v>
      </c>
      <c r="O18" s="38"/>
    </row>
    <row r="19" customFormat="false" ht="18" hidden="false" customHeight="true" outlineLevel="0" collapsed="false">
      <c r="A19" s="26"/>
      <c r="B19" s="26"/>
      <c r="C19" s="27"/>
      <c r="D19" s="26"/>
      <c r="E19" s="39"/>
      <c r="F19" s="39"/>
      <c r="G19" s="29" t="n">
        <f aca="false">IFERROR(IF(D19="LONG",E19+1.5*(E19-F19),E19-1.5*(F19-E19)),"")</f>
        <v>0</v>
      </c>
      <c r="H19" s="30" t="str">
        <f aca="false">IFERROR(ROUND(I19/(E19-F19),0),"")</f>
        <v/>
      </c>
      <c r="I19" s="29" t="n">
        <f aca="false">M18*0.03</f>
        <v>1567.5</v>
      </c>
      <c r="J19" s="29" t="n">
        <f aca="false">I19*1.5</f>
        <v>2351.25</v>
      </c>
      <c r="K19" s="26"/>
      <c r="L19" s="29" t="n">
        <f aca="false">IFERROR(IF(K19="WIN",J19,IF(K19="LOSS",-I19,0)),"")</f>
        <v>0</v>
      </c>
      <c r="M19" s="32" t="n">
        <f aca="false">IFERROR(M18+L19,M18)</f>
        <v>52250</v>
      </c>
      <c r="N19" s="33" t="n">
        <f aca="false">IFERROR((M19-50000)/50000,0)</f>
        <v>0.045</v>
      </c>
      <c r="O19" s="34"/>
    </row>
    <row r="20" customFormat="false" ht="18" hidden="false" customHeight="true" outlineLevel="0" collapsed="false">
      <c r="A20" s="35"/>
      <c r="B20" s="35"/>
      <c r="C20" s="36"/>
      <c r="D20" s="35"/>
      <c r="E20" s="37"/>
      <c r="F20" s="37"/>
      <c r="G20" s="29" t="n">
        <f aca="false">IFERROR(IF(D20="LONG",E20+1.5*(E20-F20),E20-1.5*(F20-E20)),"")</f>
        <v>0</v>
      </c>
      <c r="H20" s="30" t="str">
        <f aca="false">IFERROR(ROUND(I20/(E20-F20),0),"")</f>
        <v/>
      </c>
      <c r="I20" s="29" t="n">
        <f aca="false">M19*0.03</f>
        <v>1567.5</v>
      </c>
      <c r="J20" s="29" t="n">
        <f aca="false">I20*1.5</f>
        <v>2351.25</v>
      </c>
      <c r="K20" s="35"/>
      <c r="L20" s="29" t="n">
        <f aca="false">IFERROR(IF(K20="WIN",J20,IF(K20="LOSS",-I20,0)),"")</f>
        <v>0</v>
      </c>
      <c r="M20" s="32" t="n">
        <f aca="false">IFERROR(M19+L20,M19)</f>
        <v>52250</v>
      </c>
      <c r="N20" s="33" t="n">
        <f aca="false">IFERROR((M20-50000)/50000,0)</f>
        <v>0.045</v>
      </c>
      <c r="O20" s="38"/>
    </row>
    <row r="21" customFormat="false" ht="18" hidden="false" customHeight="true" outlineLevel="0" collapsed="false">
      <c r="A21" s="26"/>
      <c r="B21" s="26"/>
      <c r="C21" s="27"/>
      <c r="D21" s="26"/>
      <c r="E21" s="39"/>
      <c r="F21" s="39"/>
      <c r="G21" s="29" t="n">
        <f aca="false">IFERROR(IF(D21="LONG",E21+1.5*(E21-F21),E21-1.5*(F21-E21)),"")</f>
        <v>0</v>
      </c>
      <c r="H21" s="30" t="str">
        <f aca="false">IFERROR(ROUND(I21/(E21-F21),0),"")</f>
        <v/>
      </c>
      <c r="I21" s="29" t="n">
        <f aca="false">M20*0.03</f>
        <v>1567.5</v>
      </c>
      <c r="J21" s="29" t="n">
        <f aca="false">I21*1.5</f>
        <v>2351.25</v>
      </c>
      <c r="K21" s="26"/>
      <c r="L21" s="29" t="n">
        <f aca="false">IFERROR(IF(K21="WIN",J21,IF(K21="LOSS",-I21,0)),"")</f>
        <v>0</v>
      </c>
      <c r="M21" s="32" t="n">
        <f aca="false">IFERROR(M20+L21,M20)</f>
        <v>52250</v>
      </c>
      <c r="N21" s="33" t="n">
        <f aca="false">IFERROR((M21-50000)/50000,0)</f>
        <v>0.045</v>
      </c>
      <c r="O21" s="34"/>
    </row>
    <row r="22" customFormat="false" ht="18" hidden="false" customHeight="true" outlineLevel="0" collapsed="false">
      <c r="A22" s="35"/>
      <c r="B22" s="35"/>
      <c r="C22" s="36"/>
      <c r="D22" s="35"/>
      <c r="E22" s="37"/>
      <c r="F22" s="37"/>
      <c r="G22" s="29" t="n">
        <f aca="false">IFERROR(IF(D22="LONG",E22+1.5*(E22-F22),E22-1.5*(F22-E22)),"")</f>
        <v>0</v>
      </c>
      <c r="H22" s="30" t="str">
        <f aca="false">IFERROR(ROUND(I22/(E22-F22),0),"")</f>
        <v/>
      </c>
      <c r="I22" s="29" t="n">
        <f aca="false">M21*0.03</f>
        <v>1567.5</v>
      </c>
      <c r="J22" s="29" t="n">
        <f aca="false">I22*1.5</f>
        <v>2351.25</v>
      </c>
      <c r="K22" s="35"/>
      <c r="L22" s="29" t="n">
        <f aca="false">IFERROR(IF(K22="WIN",J22,IF(K22="LOSS",-I22,0)),"")</f>
        <v>0</v>
      </c>
      <c r="M22" s="32" t="n">
        <f aca="false">IFERROR(M21+L22,M21)</f>
        <v>52250</v>
      </c>
      <c r="N22" s="33" t="n">
        <f aca="false">IFERROR((M22-50000)/50000,0)</f>
        <v>0.045</v>
      </c>
      <c r="O22" s="38"/>
    </row>
    <row r="23" customFormat="false" ht="18" hidden="false" customHeight="true" outlineLevel="0" collapsed="false">
      <c r="A23" s="26"/>
      <c r="B23" s="26"/>
      <c r="C23" s="27"/>
      <c r="D23" s="26"/>
      <c r="E23" s="39"/>
      <c r="F23" s="39"/>
      <c r="G23" s="29" t="n">
        <f aca="false">IFERROR(IF(D23="LONG",E23+1.5*(E23-F23),E23-1.5*(F23-E23)),"")</f>
        <v>0</v>
      </c>
      <c r="H23" s="30" t="str">
        <f aca="false">IFERROR(ROUND(I23/(E23-F23),0),"")</f>
        <v/>
      </c>
      <c r="I23" s="29" t="n">
        <f aca="false">M22*0.03</f>
        <v>1567.5</v>
      </c>
      <c r="J23" s="29" t="n">
        <f aca="false">I23*1.5</f>
        <v>2351.25</v>
      </c>
      <c r="K23" s="26"/>
      <c r="L23" s="29" t="n">
        <f aca="false">IFERROR(IF(K23="WIN",J23,IF(K23="LOSS",-I23,0)),"")</f>
        <v>0</v>
      </c>
      <c r="M23" s="32" t="n">
        <f aca="false">IFERROR(M22+L23,M22)</f>
        <v>52250</v>
      </c>
      <c r="N23" s="33" t="n">
        <f aca="false">IFERROR((M23-50000)/50000,0)</f>
        <v>0.045</v>
      </c>
      <c r="O23" s="34"/>
    </row>
    <row r="24" customFormat="false" ht="18" hidden="false" customHeight="true" outlineLevel="0" collapsed="false">
      <c r="A24" s="35"/>
      <c r="B24" s="35"/>
      <c r="C24" s="36"/>
      <c r="D24" s="35"/>
      <c r="E24" s="37"/>
      <c r="F24" s="37"/>
      <c r="G24" s="29" t="n">
        <f aca="false">IFERROR(IF(D24="LONG",E24+1.5*(E24-F24),E24-1.5*(F24-E24)),"")</f>
        <v>0</v>
      </c>
      <c r="H24" s="30" t="str">
        <f aca="false">IFERROR(ROUND(I24/(E24-F24),0),"")</f>
        <v/>
      </c>
      <c r="I24" s="29" t="n">
        <f aca="false">M23*0.03</f>
        <v>1567.5</v>
      </c>
      <c r="J24" s="29" t="n">
        <f aca="false">I24*1.5</f>
        <v>2351.25</v>
      </c>
      <c r="K24" s="35"/>
      <c r="L24" s="29" t="n">
        <f aca="false">IFERROR(IF(K24="WIN",J24,IF(K24="LOSS",-I24,0)),"")</f>
        <v>0</v>
      </c>
      <c r="M24" s="32" t="n">
        <f aca="false">IFERROR(M23+L24,M23)</f>
        <v>52250</v>
      </c>
      <c r="N24" s="33" t="n">
        <f aca="false">IFERROR((M24-50000)/50000,0)</f>
        <v>0.045</v>
      </c>
      <c r="O24" s="38"/>
    </row>
    <row r="25" customFormat="false" ht="18" hidden="false" customHeight="true" outlineLevel="0" collapsed="false">
      <c r="A25" s="26"/>
      <c r="B25" s="26"/>
      <c r="C25" s="27"/>
      <c r="D25" s="26"/>
      <c r="E25" s="39"/>
      <c r="F25" s="39"/>
      <c r="G25" s="29" t="n">
        <f aca="false">IFERROR(IF(D25="LONG",E25+1.5*(E25-F25),E25-1.5*(F25-E25)),"")</f>
        <v>0</v>
      </c>
      <c r="H25" s="30" t="str">
        <f aca="false">IFERROR(ROUND(I25/(E25-F25),0),"")</f>
        <v/>
      </c>
      <c r="I25" s="29" t="n">
        <f aca="false">M24*0.03</f>
        <v>1567.5</v>
      </c>
      <c r="J25" s="29" t="n">
        <f aca="false">I25*1.5</f>
        <v>2351.25</v>
      </c>
      <c r="K25" s="26"/>
      <c r="L25" s="29" t="n">
        <f aca="false">IFERROR(IF(K25="WIN",J25,IF(K25="LOSS",-I25,0)),"")</f>
        <v>0</v>
      </c>
      <c r="M25" s="32" t="n">
        <f aca="false">IFERROR(M24+L25,M24)</f>
        <v>52250</v>
      </c>
      <c r="N25" s="33" t="n">
        <f aca="false">IFERROR((M25-50000)/50000,0)</f>
        <v>0.045</v>
      </c>
      <c r="O25" s="34"/>
    </row>
    <row r="26" customFormat="false" ht="18" hidden="false" customHeight="true" outlineLevel="0" collapsed="false">
      <c r="A26" s="35"/>
      <c r="B26" s="35"/>
      <c r="C26" s="36"/>
      <c r="D26" s="35"/>
      <c r="E26" s="37"/>
      <c r="F26" s="37"/>
      <c r="G26" s="29" t="n">
        <f aca="false">IFERROR(IF(D26="LONG",E26+1.5*(E26-F26),E26-1.5*(F26-E26)),"")</f>
        <v>0</v>
      </c>
      <c r="H26" s="30" t="str">
        <f aca="false">IFERROR(ROUND(I26/(E26-F26),0),"")</f>
        <v/>
      </c>
      <c r="I26" s="29" t="n">
        <f aca="false">M25*0.03</f>
        <v>1567.5</v>
      </c>
      <c r="J26" s="29" t="n">
        <f aca="false">I26*1.5</f>
        <v>2351.25</v>
      </c>
      <c r="K26" s="35"/>
      <c r="L26" s="29" t="n">
        <f aca="false">IFERROR(IF(K26="WIN",J26,IF(K26="LOSS",-I26,0)),"")</f>
        <v>0</v>
      </c>
      <c r="M26" s="32" t="n">
        <f aca="false">IFERROR(M25+L26,M25)</f>
        <v>52250</v>
      </c>
      <c r="N26" s="33" t="n">
        <f aca="false">IFERROR((M26-50000)/50000,0)</f>
        <v>0.045</v>
      </c>
      <c r="O26" s="38"/>
    </row>
    <row r="27" customFormat="false" ht="18" hidden="false" customHeight="true" outlineLevel="0" collapsed="false">
      <c r="A27" s="26"/>
      <c r="B27" s="26"/>
      <c r="C27" s="27"/>
      <c r="D27" s="26"/>
      <c r="E27" s="39"/>
      <c r="F27" s="39"/>
      <c r="G27" s="29" t="n">
        <f aca="false">IFERROR(IF(D27="LONG",E27+1.5*(E27-F27),E27-1.5*(F27-E27)),"")</f>
        <v>0</v>
      </c>
      <c r="H27" s="30" t="str">
        <f aca="false">IFERROR(ROUND(I27/(E27-F27),0),"")</f>
        <v/>
      </c>
      <c r="I27" s="29" t="n">
        <f aca="false">M26*0.03</f>
        <v>1567.5</v>
      </c>
      <c r="J27" s="29" t="n">
        <f aca="false">I27*1.5</f>
        <v>2351.25</v>
      </c>
      <c r="K27" s="26"/>
      <c r="L27" s="29" t="n">
        <f aca="false">IFERROR(IF(K27="WIN",J27,IF(K27="LOSS",-I27,0)),"")</f>
        <v>0</v>
      </c>
      <c r="M27" s="32" t="n">
        <f aca="false">IFERROR(M26+L27,M26)</f>
        <v>52250</v>
      </c>
      <c r="N27" s="33" t="n">
        <f aca="false">IFERROR((M27-50000)/50000,0)</f>
        <v>0.045</v>
      </c>
      <c r="O27" s="34"/>
    </row>
    <row r="28" customFormat="false" ht="18" hidden="false" customHeight="true" outlineLevel="0" collapsed="false">
      <c r="A28" s="35"/>
      <c r="B28" s="35"/>
      <c r="C28" s="36"/>
      <c r="D28" s="35"/>
      <c r="E28" s="37"/>
      <c r="F28" s="37"/>
      <c r="G28" s="29" t="n">
        <f aca="false">IFERROR(IF(D28="LONG",E28+1.5*(E28-F28),E28-1.5*(F28-E28)),"")</f>
        <v>0</v>
      </c>
      <c r="H28" s="30" t="str">
        <f aca="false">IFERROR(ROUND(I28/(E28-F28),0),"")</f>
        <v/>
      </c>
      <c r="I28" s="29" t="n">
        <f aca="false">M27*0.03</f>
        <v>1567.5</v>
      </c>
      <c r="J28" s="29" t="n">
        <f aca="false">I28*1.5</f>
        <v>2351.25</v>
      </c>
      <c r="K28" s="35"/>
      <c r="L28" s="29" t="n">
        <f aca="false">IFERROR(IF(K28="WIN",J28,IF(K28="LOSS",-I28,0)),"")</f>
        <v>0</v>
      </c>
      <c r="M28" s="32" t="n">
        <f aca="false">IFERROR(M27+L28,M27)</f>
        <v>52250</v>
      </c>
      <c r="N28" s="33" t="n">
        <f aca="false">IFERROR((M28-50000)/50000,0)</f>
        <v>0.045</v>
      </c>
      <c r="O28" s="38"/>
    </row>
    <row r="29" customFormat="false" ht="18" hidden="false" customHeight="true" outlineLevel="0" collapsed="false">
      <c r="A29" s="26"/>
      <c r="B29" s="26"/>
      <c r="C29" s="27"/>
      <c r="D29" s="26"/>
      <c r="E29" s="39"/>
      <c r="F29" s="39"/>
      <c r="G29" s="29" t="n">
        <f aca="false">IFERROR(IF(D29="LONG",E29+1.5*(E29-F29),E29-1.5*(F29-E29)),"")</f>
        <v>0</v>
      </c>
      <c r="H29" s="30" t="str">
        <f aca="false">IFERROR(ROUND(I29/(E29-F29),0),"")</f>
        <v/>
      </c>
      <c r="I29" s="29" t="n">
        <f aca="false">M28*0.03</f>
        <v>1567.5</v>
      </c>
      <c r="J29" s="29" t="n">
        <f aca="false">I29*1.5</f>
        <v>2351.25</v>
      </c>
      <c r="K29" s="26"/>
      <c r="L29" s="29" t="n">
        <f aca="false">IFERROR(IF(K29="WIN",J29,IF(K29="LOSS",-I29,0)),"")</f>
        <v>0</v>
      </c>
      <c r="M29" s="32" t="n">
        <f aca="false">IFERROR(M28+L29,M28)</f>
        <v>52250</v>
      </c>
      <c r="N29" s="33" t="n">
        <f aca="false">IFERROR((M29-50000)/50000,0)</f>
        <v>0.045</v>
      </c>
      <c r="O29" s="34"/>
    </row>
    <row r="30" customFormat="false" ht="18" hidden="false" customHeight="true" outlineLevel="0" collapsed="false">
      <c r="A30" s="35"/>
      <c r="B30" s="35"/>
      <c r="C30" s="36"/>
      <c r="D30" s="35"/>
      <c r="E30" s="37"/>
      <c r="F30" s="37"/>
      <c r="G30" s="29" t="n">
        <f aca="false">IFERROR(IF(D30="LONG",E30+1.5*(E30-F30),E30-1.5*(F30-E30)),"")</f>
        <v>0</v>
      </c>
      <c r="H30" s="30" t="str">
        <f aca="false">IFERROR(ROUND(I30/(E30-F30),0),"")</f>
        <v/>
      </c>
      <c r="I30" s="29" t="n">
        <f aca="false">M29*0.03</f>
        <v>1567.5</v>
      </c>
      <c r="J30" s="29" t="n">
        <f aca="false">I30*1.5</f>
        <v>2351.25</v>
      </c>
      <c r="K30" s="35"/>
      <c r="L30" s="29" t="n">
        <f aca="false">IFERROR(IF(K30="WIN",J30,IF(K30="LOSS",-I30,0)),"")</f>
        <v>0</v>
      </c>
      <c r="M30" s="32" t="n">
        <f aca="false">IFERROR(M29+L30,M29)</f>
        <v>52250</v>
      </c>
      <c r="N30" s="33" t="n">
        <f aca="false">IFERROR((M30-50000)/50000,0)</f>
        <v>0.045</v>
      </c>
      <c r="O30" s="38"/>
    </row>
    <row r="31" customFormat="false" ht="18" hidden="false" customHeight="true" outlineLevel="0" collapsed="false">
      <c r="A31" s="26"/>
      <c r="B31" s="26"/>
      <c r="C31" s="27"/>
      <c r="D31" s="26"/>
      <c r="E31" s="39"/>
      <c r="F31" s="39"/>
      <c r="G31" s="29" t="n">
        <f aca="false">IFERROR(IF(D31="LONG",E31+1.5*(E31-F31),E31-1.5*(F31-E31)),"")</f>
        <v>0</v>
      </c>
      <c r="H31" s="30" t="str">
        <f aca="false">IFERROR(ROUND(I31/(E31-F31),0),"")</f>
        <v/>
      </c>
      <c r="I31" s="29" t="n">
        <f aca="false">M30*0.03</f>
        <v>1567.5</v>
      </c>
      <c r="J31" s="29" t="n">
        <f aca="false">I31*1.5</f>
        <v>2351.25</v>
      </c>
      <c r="K31" s="26"/>
      <c r="L31" s="29" t="n">
        <f aca="false">IFERROR(IF(K31="WIN",J31,IF(K31="LOSS",-I31,0)),"")</f>
        <v>0</v>
      </c>
      <c r="M31" s="32" t="n">
        <f aca="false">IFERROR(M30+L31,M30)</f>
        <v>52250</v>
      </c>
      <c r="N31" s="33" t="n">
        <f aca="false">IFERROR((M31-50000)/50000,0)</f>
        <v>0.045</v>
      </c>
      <c r="O31" s="34"/>
    </row>
    <row r="32" customFormat="false" ht="18" hidden="false" customHeight="true" outlineLevel="0" collapsed="false">
      <c r="A32" s="35"/>
      <c r="B32" s="35"/>
      <c r="C32" s="36"/>
      <c r="D32" s="35"/>
      <c r="E32" s="37"/>
      <c r="F32" s="37"/>
      <c r="G32" s="29" t="n">
        <f aca="false">IFERROR(IF(D32="LONG",E32+1.5*(E32-F32),E32-1.5*(F32-E32)),"")</f>
        <v>0</v>
      </c>
      <c r="H32" s="30" t="str">
        <f aca="false">IFERROR(ROUND(I32/(E32-F32),0),"")</f>
        <v/>
      </c>
      <c r="I32" s="29" t="n">
        <f aca="false">M31*0.03</f>
        <v>1567.5</v>
      </c>
      <c r="J32" s="29" t="n">
        <f aca="false">I32*1.5</f>
        <v>2351.25</v>
      </c>
      <c r="K32" s="35"/>
      <c r="L32" s="29" t="n">
        <f aca="false">IFERROR(IF(K32="WIN",J32,IF(K32="LOSS",-I32,0)),"")</f>
        <v>0</v>
      </c>
      <c r="M32" s="32" t="n">
        <f aca="false">IFERROR(M31+L32,M31)</f>
        <v>52250</v>
      </c>
      <c r="N32" s="33" t="n">
        <f aca="false">IFERROR((M32-50000)/50000,0)</f>
        <v>0.045</v>
      </c>
      <c r="O32" s="38"/>
    </row>
    <row r="33" customFormat="false" ht="18" hidden="false" customHeight="true" outlineLevel="0" collapsed="false">
      <c r="A33" s="26"/>
      <c r="B33" s="26"/>
      <c r="C33" s="27"/>
      <c r="D33" s="26"/>
      <c r="E33" s="39"/>
      <c r="F33" s="39"/>
      <c r="G33" s="29" t="n">
        <f aca="false">IFERROR(IF(D33="LONG",E33+1.5*(E33-F33),E33-1.5*(F33-E33)),"")</f>
        <v>0</v>
      </c>
      <c r="H33" s="30" t="str">
        <f aca="false">IFERROR(ROUND(I33/(E33-F33),0),"")</f>
        <v/>
      </c>
      <c r="I33" s="29" t="n">
        <f aca="false">M32*0.03</f>
        <v>1567.5</v>
      </c>
      <c r="J33" s="29" t="n">
        <f aca="false">I33*1.5</f>
        <v>2351.25</v>
      </c>
      <c r="K33" s="26"/>
      <c r="L33" s="29" t="n">
        <f aca="false">IFERROR(IF(K33="WIN",J33,IF(K33="LOSS",-I33,0)),"")</f>
        <v>0</v>
      </c>
      <c r="M33" s="32" t="n">
        <f aca="false">IFERROR(M32+L33,M32)</f>
        <v>52250</v>
      </c>
      <c r="N33" s="33" t="n">
        <f aca="false">IFERROR((M33-50000)/50000,0)</f>
        <v>0.045</v>
      </c>
      <c r="O33" s="34"/>
    </row>
    <row r="34" customFormat="false" ht="18" hidden="false" customHeight="true" outlineLevel="0" collapsed="false">
      <c r="A34" s="35"/>
      <c r="B34" s="35"/>
      <c r="C34" s="36"/>
      <c r="D34" s="35"/>
      <c r="E34" s="37"/>
      <c r="F34" s="37"/>
      <c r="G34" s="29" t="n">
        <f aca="false">IFERROR(IF(D34="LONG",E34+1.5*(E34-F34),E34-1.5*(F34-E34)),"")</f>
        <v>0</v>
      </c>
      <c r="H34" s="30" t="str">
        <f aca="false">IFERROR(ROUND(I34/(E34-F34),0),"")</f>
        <v/>
      </c>
      <c r="I34" s="29" t="n">
        <f aca="false">M33*0.03</f>
        <v>1567.5</v>
      </c>
      <c r="J34" s="29" t="n">
        <f aca="false">I34*1.5</f>
        <v>2351.25</v>
      </c>
      <c r="K34" s="35"/>
      <c r="L34" s="29" t="n">
        <f aca="false">IFERROR(IF(K34="WIN",J34,IF(K34="LOSS",-I34,0)),"")</f>
        <v>0</v>
      </c>
      <c r="M34" s="32" t="n">
        <f aca="false">IFERROR(M33+L34,M33)</f>
        <v>52250</v>
      </c>
      <c r="N34" s="33" t="n">
        <f aca="false">IFERROR((M34-50000)/50000,0)</f>
        <v>0.045</v>
      </c>
      <c r="O34" s="38"/>
    </row>
    <row r="35" customFormat="false" ht="18" hidden="false" customHeight="true" outlineLevel="0" collapsed="false">
      <c r="A35" s="26"/>
      <c r="B35" s="26"/>
      <c r="C35" s="27"/>
      <c r="D35" s="26"/>
      <c r="E35" s="39"/>
      <c r="F35" s="39"/>
      <c r="G35" s="29" t="n">
        <f aca="false">IFERROR(IF(D35="LONG",E35+1.5*(E35-F35),E35-1.5*(F35-E35)),"")</f>
        <v>0</v>
      </c>
      <c r="H35" s="30" t="str">
        <f aca="false">IFERROR(ROUND(I35/(E35-F35),0),"")</f>
        <v/>
      </c>
      <c r="I35" s="29" t="n">
        <f aca="false">M34*0.03</f>
        <v>1567.5</v>
      </c>
      <c r="J35" s="29" t="n">
        <f aca="false">I35*1.5</f>
        <v>2351.25</v>
      </c>
      <c r="K35" s="26"/>
      <c r="L35" s="29" t="n">
        <f aca="false">IFERROR(IF(K35="WIN",J35,IF(K35="LOSS",-I35,0)),"")</f>
        <v>0</v>
      </c>
      <c r="M35" s="32" t="n">
        <f aca="false">IFERROR(M34+L35,M34)</f>
        <v>52250</v>
      </c>
      <c r="N35" s="33" t="n">
        <f aca="false">IFERROR((M35-50000)/50000,0)</f>
        <v>0.045</v>
      </c>
      <c r="O35" s="34"/>
    </row>
    <row r="36" customFormat="false" ht="18" hidden="false" customHeight="true" outlineLevel="0" collapsed="false">
      <c r="A36" s="35"/>
      <c r="B36" s="35"/>
      <c r="C36" s="36"/>
      <c r="D36" s="35"/>
      <c r="E36" s="37"/>
      <c r="F36" s="37"/>
      <c r="G36" s="29" t="n">
        <f aca="false">IFERROR(IF(D36="LONG",E36+1.5*(E36-F36),E36-1.5*(F36-E36)),"")</f>
        <v>0</v>
      </c>
      <c r="H36" s="30" t="str">
        <f aca="false">IFERROR(ROUND(I36/(E36-F36),0),"")</f>
        <v/>
      </c>
      <c r="I36" s="29" t="n">
        <f aca="false">M35*0.03</f>
        <v>1567.5</v>
      </c>
      <c r="J36" s="29" t="n">
        <f aca="false">I36*1.5</f>
        <v>2351.25</v>
      </c>
      <c r="K36" s="35"/>
      <c r="L36" s="29" t="n">
        <f aca="false">IFERROR(IF(K36="WIN",J36,IF(K36="LOSS",-I36,0)),"")</f>
        <v>0</v>
      </c>
      <c r="M36" s="32" t="n">
        <f aca="false">IFERROR(M35+L36,M35)</f>
        <v>52250</v>
      </c>
      <c r="N36" s="33" t="n">
        <f aca="false">IFERROR((M36-50000)/50000,0)</f>
        <v>0.045</v>
      </c>
      <c r="O36" s="38"/>
    </row>
    <row r="37" customFormat="false" ht="18" hidden="false" customHeight="true" outlineLevel="0" collapsed="false">
      <c r="A37" s="26"/>
      <c r="B37" s="26"/>
      <c r="C37" s="27"/>
      <c r="D37" s="26"/>
      <c r="E37" s="39"/>
      <c r="F37" s="39"/>
      <c r="G37" s="29" t="n">
        <f aca="false">IFERROR(IF(D37="LONG",E37+1.5*(E37-F37),E37-1.5*(F37-E37)),"")</f>
        <v>0</v>
      </c>
      <c r="H37" s="30" t="str">
        <f aca="false">IFERROR(ROUND(I37/(E37-F37),0),"")</f>
        <v/>
      </c>
      <c r="I37" s="29" t="n">
        <f aca="false">M36*0.03</f>
        <v>1567.5</v>
      </c>
      <c r="J37" s="29" t="n">
        <f aca="false">I37*1.5</f>
        <v>2351.25</v>
      </c>
      <c r="K37" s="26"/>
      <c r="L37" s="29" t="n">
        <f aca="false">IFERROR(IF(K37="WIN",J37,IF(K37="LOSS",-I37,0)),"")</f>
        <v>0</v>
      </c>
      <c r="M37" s="32" t="n">
        <f aca="false">IFERROR(M36+L37,M36)</f>
        <v>52250</v>
      </c>
      <c r="N37" s="33" t="n">
        <f aca="false">IFERROR((M37-50000)/50000,0)</f>
        <v>0.045</v>
      </c>
      <c r="O37" s="34"/>
    </row>
    <row r="38" customFormat="false" ht="18" hidden="false" customHeight="true" outlineLevel="0" collapsed="false">
      <c r="A38" s="35"/>
      <c r="B38" s="35"/>
      <c r="C38" s="36"/>
      <c r="D38" s="35"/>
      <c r="E38" s="37"/>
      <c r="F38" s="37"/>
      <c r="G38" s="29" t="n">
        <f aca="false">IFERROR(IF(D38="LONG",E38+1.5*(E38-F38),E38-1.5*(F38-E38)),"")</f>
        <v>0</v>
      </c>
      <c r="H38" s="30" t="str">
        <f aca="false">IFERROR(ROUND(I38/(E38-F38),0),"")</f>
        <v/>
      </c>
      <c r="I38" s="29" t="n">
        <f aca="false">M37*0.03</f>
        <v>1567.5</v>
      </c>
      <c r="J38" s="29" t="n">
        <f aca="false">I38*1.5</f>
        <v>2351.25</v>
      </c>
      <c r="K38" s="35"/>
      <c r="L38" s="29" t="n">
        <f aca="false">IFERROR(IF(K38="WIN",J38,IF(K38="LOSS",-I38,0)),"")</f>
        <v>0</v>
      </c>
      <c r="M38" s="32" t="n">
        <f aca="false">IFERROR(M37+L38,M37)</f>
        <v>52250</v>
      </c>
      <c r="N38" s="33" t="n">
        <f aca="false">IFERROR((M38-50000)/50000,0)</f>
        <v>0.045</v>
      </c>
      <c r="O38" s="38"/>
    </row>
    <row r="39" customFormat="false" ht="18" hidden="false" customHeight="true" outlineLevel="0" collapsed="false">
      <c r="A39" s="26"/>
      <c r="B39" s="26"/>
      <c r="C39" s="27"/>
      <c r="D39" s="26"/>
      <c r="E39" s="39"/>
      <c r="F39" s="39"/>
      <c r="G39" s="29" t="n">
        <f aca="false">IFERROR(IF(D39="LONG",E39+1.5*(E39-F39),E39-1.5*(F39-E39)),"")</f>
        <v>0</v>
      </c>
      <c r="H39" s="30" t="str">
        <f aca="false">IFERROR(ROUND(I39/(E39-F39),0),"")</f>
        <v/>
      </c>
      <c r="I39" s="29" t="n">
        <f aca="false">M38*0.03</f>
        <v>1567.5</v>
      </c>
      <c r="J39" s="29" t="n">
        <f aca="false">I39*1.5</f>
        <v>2351.25</v>
      </c>
      <c r="K39" s="26"/>
      <c r="L39" s="29" t="n">
        <f aca="false">IFERROR(IF(K39="WIN",J39,IF(K39="LOSS",-I39,0)),"")</f>
        <v>0</v>
      </c>
      <c r="M39" s="32" t="n">
        <f aca="false">IFERROR(M38+L39,M38)</f>
        <v>52250</v>
      </c>
      <c r="N39" s="33" t="n">
        <f aca="false">IFERROR((M39-50000)/50000,0)</f>
        <v>0.045</v>
      </c>
      <c r="O39" s="34"/>
    </row>
    <row r="40" customFormat="false" ht="18" hidden="false" customHeight="true" outlineLevel="0" collapsed="false">
      <c r="A40" s="35"/>
      <c r="B40" s="35"/>
      <c r="C40" s="36"/>
      <c r="D40" s="35"/>
      <c r="E40" s="37"/>
      <c r="F40" s="37"/>
      <c r="G40" s="29" t="n">
        <f aca="false">IFERROR(IF(D40="LONG",E40+1.5*(E40-F40),E40-1.5*(F40-E40)),"")</f>
        <v>0</v>
      </c>
      <c r="H40" s="30" t="str">
        <f aca="false">IFERROR(ROUND(I40/(E40-F40),0),"")</f>
        <v/>
      </c>
      <c r="I40" s="29" t="n">
        <f aca="false">M39*0.03</f>
        <v>1567.5</v>
      </c>
      <c r="J40" s="29" t="n">
        <f aca="false">I40*1.5</f>
        <v>2351.25</v>
      </c>
      <c r="K40" s="35"/>
      <c r="L40" s="29" t="n">
        <f aca="false">IFERROR(IF(K40="WIN",J40,IF(K40="LOSS",-I40,0)),"")</f>
        <v>0</v>
      </c>
      <c r="M40" s="32" t="n">
        <f aca="false">IFERROR(M39+L40,M39)</f>
        <v>52250</v>
      </c>
      <c r="N40" s="33" t="n">
        <f aca="false">IFERROR((M40-50000)/50000,0)</f>
        <v>0.045</v>
      </c>
      <c r="O40" s="38"/>
    </row>
    <row r="41" customFormat="false" ht="18" hidden="false" customHeight="true" outlineLevel="0" collapsed="false">
      <c r="A41" s="26"/>
      <c r="B41" s="26"/>
      <c r="C41" s="27"/>
      <c r="D41" s="26"/>
      <c r="E41" s="39"/>
      <c r="F41" s="39"/>
      <c r="G41" s="29" t="n">
        <f aca="false">IFERROR(IF(D41="LONG",E41+1.5*(E41-F41),E41-1.5*(F41-E41)),"")</f>
        <v>0</v>
      </c>
      <c r="H41" s="30" t="str">
        <f aca="false">IFERROR(ROUND(I41/(E41-F41),0),"")</f>
        <v/>
      </c>
      <c r="I41" s="29" t="n">
        <f aca="false">M40*0.03</f>
        <v>1567.5</v>
      </c>
      <c r="J41" s="29" t="n">
        <f aca="false">I41*1.5</f>
        <v>2351.25</v>
      </c>
      <c r="K41" s="26"/>
      <c r="L41" s="29" t="n">
        <f aca="false">IFERROR(IF(K41="WIN",J41,IF(K41="LOSS",-I41,0)),"")</f>
        <v>0</v>
      </c>
      <c r="M41" s="32" t="n">
        <f aca="false">IFERROR(M40+L41,M40)</f>
        <v>52250</v>
      </c>
      <c r="N41" s="33" t="n">
        <f aca="false">IFERROR((M41-50000)/50000,0)</f>
        <v>0.045</v>
      </c>
      <c r="O41" s="34"/>
    </row>
    <row r="42" customFormat="false" ht="18" hidden="false" customHeight="true" outlineLevel="0" collapsed="false">
      <c r="A42" s="35"/>
      <c r="B42" s="35"/>
      <c r="C42" s="36"/>
      <c r="D42" s="35"/>
      <c r="E42" s="37"/>
      <c r="F42" s="37"/>
      <c r="G42" s="29" t="n">
        <f aca="false">IFERROR(IF(D42="LONG",E42+1.5*(E42-F42),E42-1.5*(F42-E42)),"")</f>
        <v>0</v>
      </c>
      <c r="H42" s="30" t="str">
        <f aca="false">IFERROR(ROUND(I42/(E42-F42),0),"")</f>
        <v/>
      </c>
      <c r="I42" s="29" t="n">
        <f aca="false">M41*0.03</f>
        <v>1567.5</v>
      </c>
      <c r="J42" s="29" t="n">
        <f aca="false">I42*1.5</f>
        <v>2351.25</v>
      </c>
      <c r="K42" s="35"/>
      <c r="L42" s="29" t="n">
        <f aca="false">IFERROR(IF(K42="WIN",J42,IF(K42="LOSS",-I42,0)),"")</f>
        <v>0</v>
      </c>
      <c r="M42" s="32" t="n">
        <f aca="false">IFERROR(M41+L42,M41)</f>
        <v>52250</v>
      </c>
      <c r="N42" s="33" t="n">
        <f aca="false">IFERROR((M42-50000)/50000,0)</f>
        <v>0.045</v>
      </c>
      <c r="O42" s="38"/>
    </row>
    <row r="43" customFormat="false" ht="18" hidden="false" customHeight="true" outlineLevel="0" collapsed="false">
      <c r="A43" s="26"/>
      <c r="B43" s="26"/>
      <c r="C43" s="27"/>
      <c r="D43" s="26"/>
      <c r="E43" s="39"/>
      <c r="F43" s="39"/>
      <c r="G43" s="29" t="n">
        <f aca="false">IFERROR(IF(D43="LONG",E43+1.5*(E43-F43),E43-1.5*(F43-E43)),"")</f>
        <v>0</v>
      </c>
      <c r="H43" s="30" t="str">
        <f aca="false">IFERROR(ROUND(I43/(E43-F43),0),"")</f>
        <v/>
      </c>
      <c r="I43" s="29" t="n">
        <f aca="false">M42*0.03</f>
        <v>1567.5</v>
      </c>
      <c r="J43" s="29" t="n">
        <f aca="false">I43*1.5</f>
        <v>2351.25</v>
      </c>
      <c r="K43" s="26"/>
      <c r="L43" s="29" t="n">
        <f aca="false">IFERROR(IF(K43="WIN",J43,IF(K43="LOSS",-I43,0)),"")</f>
        <v>0</v>
      </c>
      <c r="M43" s="32" t="n">
        <f aca="false">IFERROR(M42+L43,M42)</f>
        <v>52250</v>
      </c>
      <c r="N43" s="33" t="n">
        <f aca="false">IFERROR((M43-50000)/50000,0)</f>
        <v>0.045</v>
      </c>
      <c r="O43" s="34"/>
    </row>
    <row r="44" customFormat="false" ht="18" hidden="false" customHeight="true" outlineLevel="0" collapsed="false">
      <c r="A44" s="35"/>
      <c r="B44" s="35"/>
      <c r="C44" s="36"/>
      <c r="D44" s="35"/>
      <c r="E44" s="37"/>
      <c r="F44" s="37"/>
      <c r="G44" s="29" t="n">
        <f aca="false">IFERROR(IF(D44="LONG",E44+1.5*(E44-F44),E44-1.5*(F44-E44)),"")</f>
        <v>0</v>
      </c>
      <c r="H44" s="30" t="str">
        <f aca="false">IFERROR(ROUND(I44/(E44-F44),0),"")</f>
        <v/>
      </c>
      <c r="I44" s="29" t="n">
        <f aca="false">M43*0.03</f>
        <v>1567.5</v>
      </c>
      <c r="J44" s="29" t="n">
        <f aca="false">I44*1.5</f>
        <v>2351.25</v>
      </c>
      <c r="K44" s="35"/>
      <c r="L44" s="29" t="n">
        <f aca="false">IFERROR(IF(K44="WIN",J44,IF(K44="LOSS",-I44,0)),"")</f>
        <v>0</v>
      </c>
      <c r="M44" s="32" t="n">
        <f aca="false">IFERROR(M43+L44,M43)</f>
        <v>52250</v>
      </c>
      <c r="N44" s="33" t="n">
        <f aca="false">IFERROR((M44-50000)/50000,0)</f>
        <v>0.045</v>
      </c>
      <c r="O44" s="38"/>
    </row>
    <row r="45" customFormat="false" ht="18" hidden="false" customHeight="true" outlineLevel="0" collapsed="false">
      <c r="A45" s="26"/>
      <c r="B45" s="26"/>
      <c r="C45" s="27"/>
      <c r="D45" s="26"/>
      <c r="E45" s="39"/>
      <c r="F45" s="39"/>
      <c r="G45" s="29" t="n">
        <f aca="false">IFERROR(IF(D45="LONG",E45+1.5*(E45-F45),E45-1.5*(F45-E45)),"")</f>
        <v>0</v>
      </c>
      <c r="H45" s="30" t="str">
        <f aca="false">IFERROR(ROUND(I45/(E45-F45),0),"")</f>
        <v/>
      </c>
      <c r="I45" s="29" t="n">
        <f aca="false">M44*0.03</f>
        <v>1567.5</v>
      </c>
      <c r="J45" s="29" t="n">
        <f aca="false">I45*1.5</f>
        <v>2351.25</v>
      </c>
      <c r="K45" s="26"/>
      <c r="L45" s="29" t="n">
        <f aca="false">IFERROR(IF(K45="WIN",J45,IF(K45="LOSS",-I45,0)),"")</f>
        <v>0</v>
      </c>
      <c r="M45" s="32" t="n">
        <f aca="false">IFERROR(M44+L45,M44)</f>
        <v>52250</v>
      </c>
      <c r="N45" s="33" t="n">
        <f aca="false">IFERROR((M45-50000)/50000,0)</f>
        <v>0.045</v>
      </c>
      <c r="O45" s="34"/>
    </row>
    <row r="46" customFormat="false" ht="18" hidden="false" customHeight="true" outlineLevel="0" collapsed="false">
      <c r="A46" s="35"/>
      <c r="B46" s="35"/>
      <c r="C46" s="36"/>
      <c r="D46" s="35"/>
      <c r="E46" s="37"/>
      <c r="F46" s="37"/>
      <c r="G46" s="29" t="n">
        <f aca="false">IFERROR(IF(D46="LONG",E46+1.5*(E46-F46),E46-1.5*(F46-E46)),"")</f>
        <v>0</v>
      </c>
      <c r="H46" s="30" t="str">
        <f aca="false">IFERROR(ROUND(I46/(E46-F46),0),"")</f>
        <v/>
      </c>
      <c r="I46" s="29" t="n">
        <f aca="false">M45*0.03</f>
        <v>1567.5</v>
      </c>
      <c r="J46" s="29" t="n">
        <f aca="false">I46*1.5</f>
        <v>2351.25</v>
      </c>
      <c r="K46" s="35"/>
      <c r="L46" s="29" t="n">
        <f aca="false">IFERROR(IF(K46="WIN",J46,IF(K46="LOSS",-I46,0)),"")</f>
        <v>0</v>
      </c>
      <c r="M46" s="32" t="n">
        <f aca="false">IFERROR(M45+L46,M45)</f>
        <v>52250</v>
      </c>
      <c r="N46" s="33" t="n">
        <f aca="false">IFERROR((M46-50000)/50000,0)</f>
        <v>0.045</v>
      </c>
      <c r="O46" s="38"/>
    </row>
    <row r="47" customFormat="false" ht="18" hidden="false" customHeight="true" outlineLevel="0" collapsed="false">
      <c r="A47" s="26"/>
      <c r="B47" s="26"/>
      <c r="C47" s="27"/>
      <c r="D47" s="26"/>
      <c r="E47" s="39"/>
      <c r="F47" s="39"/>
      <c r="G47" s="29" t="n">
        <f aca="false">IFERROR(IF(D47="LONG",E47+1.5*(E47-F47),E47-1.5*(F47-E47)),"")</f>
        <v>0</v>
      </c>
      <c r="H47" s="30" t="str">
        <f aca="false">IFERROR(ROUND(I47/(E47-F47),0),"")</f>
        <v/>
      </c>
      <c r="I47" s="29" t="n">
        <f aca="false">M46*0.03</f>
        <v>1567.5</v>
      </c>
      <c r="J47" s="29" t="n">
        <f aca="false">I47*1.5</f>
        <v>2351.25</v>
      </c>
      <c r="K47" s="26"/>
      <c r="L47" s="29" t="n">
        <f aca="false">IFERROR(IF(K47="WIN",J47,IF(K47="LOSS",-I47,0)),"")</f>
        <v>0</v>
      </c>
      <c r="M47" s="32" t="n">
        <f aca="false">IFERROR(M46+L47,M46)</f>
        <v>52250</v>
      </c>
      <c r="N47" s="33" t="n">
        <f aca="false">IFERROR((M47-50000)/50000,0)</f>
        <v>0.045</v>
      </c>
      <c r="O47" s="34"/>
    </row>
    <row r="48" customFormat="false" ht="18" hidden="false" customHeight="true" outlineLevel="0" collapsed="false">
      <c r="A48" s="35"/>
      <c r="B48" s="35"/>
      <c r="C48" s="36"/>
      <c r="D48" s="35"/>
      <c r="E48" s="37"/>
      <c r="F48" s="37"/>
      <c r="G48" s="29" t="n">
        <f aca="false">IFERROR(IF(D48="LONG",E48+1.5*(E48-F48),E48-1.5*(F48-E48)),"")</f>
        <v>0</v>
      </c>
      <c r="H48" s="30" t="str">
        <f aca="false">IFERROR(ROUND(I48/(E48-F48),0),"")</f>
        <v/>
      </c>
      <c r="I48" s="29" t="n">
        <f aca="false">M47*0.03</f>
        <v>1567.5</v>
      </c>
      <c r="J48" s="29" t="n">
        <f aca="false">I48*1.5</f>
        <v>2351.25</v>
      </c>
      <c r="K48" s="35"/>
      <c r="L48" s="29" t="n">
        <f aca="false">IFERROR(IF(K48="WIN",J48,IF(K48="LOSS",-I48,0)),"")</f>
        <v>0</v>
      </c>
      <c r="M48" s="32" t="n">
        <f aca="false">IFERROR(M47+L48,M47)</f>
        <v>52250</v>
      </c>
      <c r="N48" s="33" t="n">
        <f aca="false">IFERROR((M48-50000)/50000,0)</f>
        <v>0.045</v>
      </c>
      <c r="O48" s="38"/>
    </row>
    <row r="49" customFormat="false" ht="18" hidden="false" customHeight="true" outlineLevel="0" collapsed="false">
      <c r="A49" s="26"/>
      <c r="B49" s="26"/>
      <c r="C49" s="27"/>
      <c r="D49" s="26"/>
      <c r="E49" s="39"/>
      <c r="F49" s="39"/>
      <c r="G49" s="29" t="n">
        <f aca="false">IFERROR(IF(D49="LONG",E49+1.5*(E49-F49),E49-1.5*(F49-E49)),"")</f>
        <v>0</v>
      </c>
      <c r="H49" s="30" t="str">
        <f aca="false">IFERROR(ROUND(I49/(E49-F49),0),"")</f>
        <v/>
      </c>
      <c r="I49" s="29" t="n">
        <f aca="false">M48*0.03</f>
        <v>1567.5</v>
      </c>
      <c r="J49" s="29" t="n">
        <f aca="false">I49*1.5</f>
        <v>2351.25</v>
      </c>
      <c r="K49" s="26"/>
      <c r="L49" s="29" t="n">
        <f aca="false">IFERROR(IF(K49="WIN",J49,IF(K49="LOSS",-I49,0)),"")</f>
        <v>0</v>
      </c>
      <c r="M49" s="32" t="n">
        <f aca="false">IFERROR(M48+L49,M48)</f>
        <v>52250</v>
      </c>
      <c r="N49" s="33" t="n">
        <f aca="false">IFERROR((M49-50000)/50000,0)</f>
        <v>0.045</v>
      </c>
      <c r="O49" s="34"/>
    </row>
    <row r="50" customFormat="false" ht="18" hidden="false" customHeight="true" outlineLevel="0" collapsed="false">
      <c r="A50" s="35"/>
      <c r="B50" s="35"/>
      <c r="C50" s="36"/>
      <c r="D50" s="35"/>
      <c r="E50" s="37"/>
      <c r="F50" s="37"/>
      <c r="G50" s="29" t="n">
        <f aca="false">IFERROR(IF(D50="LONG",E50+1.5*(E50-F50),E50-1.5*(F50-E50)),"")</f>
        <v>0</v>
      </c>
      <c r="H50" s="30" t="str">
        <f aca="false">IFERROR(ROUND(I50/(E50-F50),0),"")</f>
        <v/>
      </c>
      <c r="I50" s="29" t="n">
        <f aca="false">M49*0.03</f>
        <v>1567.5</v>
      </c>
      <c r="J50" s="29" t="n">
        <f aca="false">I50*1.5</f>
        <v>2351.25</v>
      </c>
      <c r="K50" s="35"/>
      <c r="L50" s="29" t="n">
        <f aca="false">IFERROR(IF(K50="WIN",J50,IF(K50="LOSS",-I50,0)),"")</f>
        <v>0</v>
      </c>
      <c r="M50" s="32" t="n">
        <f aca="false">IFERROR(M49+L50,M49)</f>
        <v>52250</v>
      </c>
      <c r="N50" s="33" t="n">
        <f aca="false">IFERROR((M50-50000)/50000,0)</f>
        <v>0.045</v>
      </c>
      <c r="O50" s="38"/>
    </row>
    <row r="51" customFormat="false" ht="18" hidden="false" customHeight="true" outlineLevel="0" collapsed="false">
      <c r="A51" s="26"/>
      <c r="B51" s="26"/>
      <c r="C51" s="27"/>
      <c r="D51" s="26"/>
      <c r="E51" s="39"/>
      <c r="F51" s="39"/>
      <c r="G51" s="29" t="n">
        <f aca="false">IFERROR(IF(D51="LONG",E51+1.5*(E51-F51),E51-1.5*(F51-E51)),"")</f>
        <v>0</v>
      </c>
      <c r="H51" s="30" t="str">
        <f aca="false">IFERROR(ROUND(I51/(E51-F51),0),"")</f>
        <v/>
      </c>
      <c r="I51" s="29" t="n">
        <f aca="false">M50*0.03</f>
        <v>1567.5</v>
      </c>
      <c r="J51" s="29" t="n">
        <f aca="false">I51*1.5</f>
        <v>2351.25</v>
      </c>
      <c r="K51" s="26"/>
      <c r="L51" s="29" t="n">
        <f aca="false">IFERROR(IF(K51="WIN",J51,IF(K51="LOSS",-I51,0)),"")</f>
        <v>0</v>
      </c>
      <c r="M51" s="32" t="n">
        <f aca="false">IFERROR(M50+L51,M50)</f>
        <v>52250</v>
      </c>
      <c r="N51" s="33" t="n">
        <f aca="false">IFERROR((M51-50000)/50000,0)</f>
        <v>0.045</v>
      </c>
      <c r="O51" s="34"/>
    </row>
    <row r="52" customFormat="false" ht="18" hidden="false" customHeight="true" outlineLevel="0" collapsed="false">
      <c r="A52" s="35"/>
      <c r="B52" s="35"/>
      <c r="C52" s="36"/>
      <c r="D52" s="35"/>
      <c r="E52" s="37"/>
      <c r="F52" s="37"/>
      <c r="G52" s="29" t="n">
        <f aca="false">IFERROR(IF(D52="LONG",E52+1.5*(E52-F52),E52-1.5*(F52-E52)),"")</f>
        <v>0</v>
      </c>
      <c r="H52" s="30" t="str">
        <f aca="false">IFERROR(ROUND(I52/(E52-F52),0),"")</f>
        <v/>
      </c>
      <c r="I52" s="29" t="n">
        <f aca="false">M51*0.03</f>
        <v>1567.5</v>
      </c>
      <c r="J52" s="29" t="n">
        <f aca="false">I52*1.5</f>
        <v>2351.25</v>
      </c>
      <c r="K52" s="35"/>
      <c r="L52" s="29" t="n">
        <f aca="false">IFERROR(IF(K52="WIN",J52,IF(K52="LOSS",-I52,0)),"")</f>
        <v>0</v>
      </c>
      <c r="M52" s="32" t="n">
        <f aca="false">IFERROR(M51+L52,M51)</f>
        <v>52250</v>
      </c>
      <c r="N52" s="33" t="n">
        <f aca="false">IFERROR((M52-50000)/50000,0)</f>
        <v>0.045</v>
      </c>
      <c r="O52" s="38"/>
    </row>
    <row r="53" customFormat="false" ht="18" hidden="false" customHeight="true" outlineLevel="0" collapsed="false">
      <c r="A53" s="26"/>
      <c r="B53" s="26"/>
      <c r="C53" s="27"/>
      <c r="D53" s="26"/>
      <c r="E53" s="39"/>
      <c r="F53" s="39"/>
      <c r="G53" s="29" t="n">
        <f aca="false">IFERROR(IF(D53="LONG",E53+1.5*(E53-F53),E53-1.5*(F53-E53)),"")</f>
        <v>0</v>
      </c>
      <c r="H53" s="30" t="str">
        <f aca="false">IFERROR(ROUND(I53/(E53-F53),0),"")</f>
        <v/>
      </c>
      <c r="I53" s="29" t="n">
        <f aca="false">M52*0.03</f>
        <v>1567.5</v>
      </c>
      <c r="J53" s="29" t="n">
        <f aca="false">I53*1.5</f>
        <v>2351.25</v>
      </c>
      <c r="K53" s="26"/>
      <c r="L53" s="29" t="n">
        <f aca="false">IFERROR(IF(K53="WIN",J53,IF(K53="LOSS",-I53,0)),"")</f>
        <v>0</v>
      </c>
      <c r="M53" s="32" t="n">
        <f aca="false">IFERROR(M52+L53,M52)</f>
        <v>52250</v>
      </c>
      <c r="N53" s="33" t="n">
        <f aca="false">IFERROR((M53-50000)/50000,0)</f>
        <v>0.045</v>
      </c>
      <c r="O53" s="34"/>
    </row>
    <row r="54" customFormat="false" ht="18" hidden="false" customHeight="true" outlineLevel="0" collapsed="false">
      <c r="A54" s="35"/>
      <c r="B54" s="35"/>
      <c r="C54" s="36"/>
      <c r="D54" s="35"/>
      <c r="E54" s="37"/>
      <c r="F54" s="37"/>
      <c r="G54" s="29" t="n">
        <f aca="false">IFERROR(IF(D54="LONG",E54+1.5*(E54-F54),E54-1.5*(F54-E54)),"")</f>
        <v>0</v>
      </c>
      <c r="H54" s="30" t="str">
        <f aca="false">IFERROR(ROUND(I54/(E54-F54),0),"")</f>
        <v/>
      </c>
      <c r="I54" s="29" t="n">
        <f aca="false">M53*0.03</f>
        <v>1567.5</v>
      </c>
      <c r="J54" s="29" t="n">
        <f aca="false">I54*1.5</f>
        <v>2351.25</v>
      </c>
      <c r="K54" s="35"/>
      <c r="L54" s="29" t="n">
        <f aca="false">IFERROR(IF(K54="WIN",J54,IF(K54="LOSS",-I54,0)),"")</f>
        <v>0</v>
      </c>
      <c r="M54" s="32" t="n">
        <f aca="false">IFERROR(M53+L54,M53)</f>
        <v>52250</v>
      </c>
      <c r="N54" s="33" t="n">
        <f aca="false">IFERROR((M54-50000)/50000,0)</f>
        <v>0.045</v>
      </c>
      <c r="O54" s="38"/>
    </row>
    <row r="55" customFormat="false" ht="18" hidden="false" customHeight="true" outlineLevel="0" collapsed="false">
      <c r="A55" s="26"/>
      <c r="B55" s="26"/>
      <c r="C55" s="27"/>
      <c r="D55" s="26"/>
      <c r="E55" s="39"/>
      <c r="F55" s="39"/>
      <c r="G55" s="29" t="n">
        <f aca="false">IFERROR(IF(D55="LONG",E55+1.5*(E55-F55),E55-1.5*(F55-E55)),"")</f>
        <v>0</v>
      </c>
      <c r="H55" s="30" t="str">
        <f aca="false">IFERROR(ROUND(I55/(E55-F55),0),"")</f>
        <v/>
      </c>
      <c r="I55" s="29" t="n">
        <f aca="false">M54*0.03</f>
        <v>1567.5</v>
      </c>
      <c r="J55" s="29" t="n">
        <f aca="false">I55*1.5</f>
        <v>2351.25</v>
      </c>
      <c r="K55" s="26"/>
      <c r="L55" s="29" t="n">
        <f aca="false">IFERROR(IF(K55="WIN",J55,IF(K55="LOSS",-I55,0)),"")</f>
        <v>0</v>
      </c>
      <c r="M55" s="32" t="n">
        <f aca="false">IFERROR(M54+L55,M54)</f>
        <v>52250</v>
      </c>
      <c r="N55" s="33" t="n">
        <f aca="false">IFERROR((M55-50000)/50000,0)</f>
        <v>0.045</v>
      </c>
      <c r="O55" s="34"/>
    </row>
    <row r="56" customFormat="false" ht="18" hidden="false" customHeight="true" outlineLevel="0" collapsed="false">
      <c r="A56" s="35"/>
      <c r="B56" s="35"/>
      <c r="C56" s="36"/>
      <c r="D56" s="35"/>
      <c r="E56" s="37"/>
      <c r="F56" s="37"/>
      <c r="G56" s="29" t="n">
        <f aca="false">IFERROR(IF(D56="LONG",E56+1.5*(E56-F56),E56-1.5*(F56-E56)),"")</f>
        <v>0</v>
      </c>
      <c r="H56" s="30" t="str">
        <f aca="false">IFERROR(ROUND(I56/(E56-F56),0),"")</f>
        <v/>
      </c>
      <c r="I56" s="29" t="n">
        <f aca="false">M55*0.03</f>
        <v>1567.5</v>
      </c>
      <c r="J56" s="29" t="n">
        <f aca="false">I56*1.5</f>
        <v>2351.25</v>
      </c>
      <c r="K56" s="35"/>
      <c r="L56" s="29" t="n">
        <f aca="false">IFERROR(IF(K56="WIN",J56,IF(K56="LOSS",-I56,0)),"")</f>
        <v>0</v>
      </c>
      <c r="M56" s="32" t="n">
        <f aca="false">IFERROR(M55+L56,M55)</f>
        <v>52250</v>
      </c>
      <c r="N56" s="33" t="n">
        <f aca="false">IFERROR((M56-50000)/50000,0)</f>
        <v>0.045</v>
      </c>
      <c r="O56" s="38"/>
    </row>
    <row r="57" customFormat="false" ht="18" hidden="false" customHeight="true" outlineLevel="0" collapsed="false">
      <c r="A57" s="26"/>
      <c r="B57" s="26"/>
      <c r="C57" s="27"/>
      <c r="D57" s="26"/>
      <c r="E57" s="39"/>
      <c r="F57" s="39"/>
      <c r="G57" s="29" t="n">
        <f aca="false">IFERROR(IF(D57="LONG",E57+1.5*(E57-F57),E57-1.5*(F57-E57)),"")</f>
        <v>0</v>
      </c>
      <c r="H57" s="30" t="str">
        <f aca="false">IFERROR(ROUND(I57/(E57-F57),0),"")</f>
        <v/>
      </c>
      <c r="I57" s="29" t="n">
        <f aca="false">M56*0.03</f>
        <v>1567.5</v>
      </c>
      <c r="J57" s="29" t="n">
        <f aca="false">I57*1.5</f>
        <v>2351.25</v>
      </c>
      <c r="K57" s="26"/>
      <c r="L57" s="29" t="n">
        <f aca="false">IFERROR(IF(K57="WIN",J57,IF(K57="LOSS",-I57,0)),"")</f>
        <v>0</v>
      </c>
      <c r="M57" s="32" t="n">
        <f aca="false">IFERROR(M56+L57,M56)</f>
        <v>52250</v>
      </c>
      <c r="N57" s="33" t="n">
        <f aca="false">IFERROR((M57-50000)/50000,0)</f>
        <v>0.045</v>
      </c>
      <c r="O57" s="34"/>
    </row>
    <row r="58" customFormat="false" ht="18" hidden="false" customHeight="true" outlineLevel="0" collapsed="false">
      <c r="A58" s="35"/>
      <c r="B58" s="35"/>
      <c r="C58" s="36"/>
      <c r="D58" s="35"/>
      <c r="E58" s="37"/>
      <c r="F58" s="37"/>
      <c r="G58" s="29" t="n">
        <f aca="false">IFERROR(IF(D58="LONG",E58+1.5*(E58-F58),E58-1.5*(F58-E58)),"")</f>
        <v>0</v>
      </c>
      <c r="H58" s="30" t="str">
        <f aca="false">IFERROR(ROUND(I58/(E58-F58),0),"")</f>
        <v/>
      </c>
      <c r="I58" s="29" t="n">
        <f aca="false">M57*0.03</f>
        <v>1567.5</v>
      </c>
      <c r="J58" s="29" t="n">
        <f aca="false">I58*1.5</f>
        <v>2351.25</v>
      </c>
      <c r="K58" s="35"/>
      <c r="L58" s="29" t="n">
        <f aca="false">IFERROR(IF(K58="WIN",J58,IF(K58="LOSS",-I58,0)),"")</f>
        <v>0</v>
      </c>
      <c r="M58" s="32" t="n">
        <f aca="false">IFERROR(M57+L58,M57)</f>
        <v>52250</v>
      </c>
      <c r="N58" s="33" t="n">
        <f aca="false">IFERROR((M58-50000)/50000,0)</f>
        <v>0.045</v>
      </c>
      <c r="O58" s="38"/>
    </row>
    <row r="59" customFormat="false" ht="18" hidden="false" customHeight="true" outlineLevel="0" collapsed="false">
      <c r="A59" s="26"/>
      <c r="B59" s="26"/>
      <c r="C59" s="27"/>
      <c r="D59" s="26"/>
      <c r="E59" s="39"/>
      <c r="F59" s="39"/>
      <c r="G59" s="29" t="n">
        <f aca="false">IFERROR(IF(D59="LONG",E59+1.5*(E59-F59),E59-1.5*(F59-E59)),"")</f>
        <v>0</v>
      </c>
      <c r="H59" s="30" t="str">
        <f aca="false">IFERROR(ROUND(I59/(E59-F59),0),"")</f>
        <v/>
      </c>
      <c r="I59" s="29" t="n">
        <f aca="false">M58*0.03</f>
        <v>1567.5</v>
      </c>
      <c r="J59" s="29" t="n">
        <f aca="false">I59*1.5</f>
        <v>2351.25</v>
      </c>
      <c r="K59" s="26"/>
      <c r="L59" s="29" t="n">
        <f aca="false">IFERROR(IF(K59="WIN",J59,IF(K59="LOSS",-I59,0)),"")</f>
        <v>0</v>
      </c>
      <c r="M59" s="32" t="n">
        <f aca="false">IFERROR(M58+L59,M58)</f>
        <v>52250</v>
      </c>
      <c r="N59" s="33" t="n">
        <f aca="false">IFERROR((M59-50000)/50000,0)</f>
        <v>0.045</v>
      </c>
      <c r="O59" s="34"/>
    </row>
    <row r="60" customFormat="false" ht="18" hidden="false" customHeight="true" outlineLevel="0" collapsed="false">
      <c r="A60" s="35"/>
      <c r="B60" s="35"/>
      <c r="C60" s="36"/>
      <c r="D60" s="35"/>
      <c r="E60" s="37"/>
      <c r="F60" s="37"/>
      <c r="G60" s="29" t="n">
        <f aca="false">IFERROR(IF(D60="LONG",E60+1.5*(E60-F60),E60-1.5*(F60-E60)),"")</f>
        <v>0</v>
      </c>
      <c r="H60" s="30" t="str">
        <f aca="false">IFERROR(ROUND(I60/(E60-F60),0),"")</f>
        <v/>
      </c>
      <c r="I60" s="29" t="n">
        <f aca="false">M59*0.03</f>
        <v>1567.5</v>
      </c>
      <c r="J60" s="29" t="n">
        <f aca="false">I60*1.5</f>
        <v>2351.25</v>
      </c>
      <c r="K60" s="35"/>
      <c r="L60" s="29" t="n">
        <f aca="false">IFERROR(IF(K60="WIN",J60,IF(K60="LOSS",-I60,0)),"")</f>
        <v>0</v>
      </c>
      <c r="M60" s="32" t="n">
        <f aca="false">IFERROR(M59+L60,M59)</f>
        <v>52250</v>
      </c>
      <c r="N60" s="33" t="n">
        <f aca="false">IFERROR((M60-50000)/50000,0)</f>
        <v>0.045</v>
      </c>
      <c r="O60" s="38"/>
    </row>
    <row r="61" customFormat="false" ht="18" hidden="false" customHeight="true" outlineLevel="0" collapsed="false">
      <c r="A61" s="26"/>
      <c r="B61" s="26"/>
      <c r="C61" s="27"/>
      <c r="D61" s="26"/>
      <c r="E61" s="39"/>
      <c r="F61" s="39"/>
      <c r="G61" s="29" t="n">
        <f aca="false">IFERROR(IF(D61="LONG",E61+1.5*(E61-F61),E61-1.5*(F61-E61)),"")</f>
        <v>0</v>
      </c>
      <c r="H61" s="30" t="str">
        <f aca="false">IFERROR(ROUND(I61/(E61-F61),0),"")</f>
        <v/>
      </c>
      <c r="I61" s="29" t="n">
        <f aca="false">M60*0.03</f>
        <v>1567.5</v>
      </c>
      <c r="J61" s="29" t="n">
        <f aca="false">I61*1.5</f>
        <v>2351.25</v>
      </c>
      <c r="K61" s="26"/>
      <c r="L61" s="29" t="n">
        <f aca="false">IFERROR(IF(K61="WIN",J61,IF(K61="LOSS",-I61,0)),"")</f>
        <v>0</v>
      </c>
      <c r="M61" s="32" t="n">
        <f aca="false">IFERROR(M60+L61,M60)</f>
        <v>52250</v>
      </c>
      <c r="N61" s="33" t="n">
        <f aca="false">IFERROR((M61-50000)/50000,0)</f>
        <v>0.045</v>
      </c>
      <c r="O61" s="34"/>
    </row>
    <row r="62" customFormat="false" ht="18" hidden="false" customHeight="true" outlineLevel="0" collapsed="false">
      <c r="A62" s="35"/>
      <c r="B62" s="35"/>
      <c r="C62" s="36"/>
      <c r="D62" s="35"/>
      <c r="E62" s="37"/>
      <c r="F62" s="37"/>
      <c r="G62" s="29" t="n">
        <f aca="false">IFERROR(IF(D62="LONG",E62+1.5*(E62-F62),E62-1.5*(F62-E62)),"")</f>
        <v>0</v>
      </c>
      <c r="H62" s="30" t="str">
        <f aca="false">IFERROR(ROUND(I62/(E62-F62),0),"")</f>
        <v/>
      </c>
      <c r="I62" s="29" t="n">
        <f aca="false">M61*0.03</f>
        <v>1567.5</v>
      </c>
      <c r="J62" s="29" t="n">
        <f aca="false">I62*1.5</f>
        <v>2351.25</v>
      </c>
      <c r="K62" s="35"/>
      <c r="L62" s="29" t="n">
        <f aca="false">IFERROR(IF(K62="WIN",J62,IF(K62="LOSS",-I62,0)),"")</f>
        <v>0</v>
      </c>
      <c r="M62" s="32" t="n">
        <f aca="false">IFERROR(M61+L62,M61)</f>
        <v>52250</v>
      </c>
      <c r="N62" s="33" t="n">
        <f aca="false">IFERROR((M62-50000)/50000,0)</f>
        <v>0.045</v>
      </c>
      <c r="O62" s="38"/>
    </row>
    <row r="63" customFormat="false" ht="18" hidden="false" customHeight="true" outlineLevel="0" collapsed="false">
      <c r="A63" s="26"/>
      <c r="B63" s="26"/>
      <c r="C63" s="27"/>
      <c r="D63" s="26"/>
      <c r="E63" s="39"/>
      <c r="F63" s="39"/>
      <c r="G63" s="29" t="n">
        <f aca="false">IFERROR(IF(D63="LONG",E63+1.5*(E63-F63),E63-1.5*(F63-E63)),"")</f>
        <v>0</v>
      </c>
      <c r="H63" s="30" t="str">
        <f aca="false">IFERROR(ROUND(I63/(E63-F63),0),"")</f>
        <v/>
      </c>
      <c r="I63" s="29" t="n">
        <f aca="false">M62*0.03</f>
        <v>1567.5</v>
      </c>
      <c r="J63" s="29" t="n">
        <f aca="false">I63*1.5</f>
        <v>2351.25</v>
      </c>
      <c r="K63" s="26"/>
      <c r="L63" s="29" t="n">
        <f aca="false">IFERROR(IF(K63="WIN",J63,IF(K63="LOSS",-I63,0)),"")</f>
        <v>0</v>
      </c>
      <c r="M63" s="32" t="n">
        <f aca="false">IFERROR(M62+L63,M62)</f>
        <v>52250</v>
      </c>
      <c r="N63" s="33" t="n">
        <f aca="false">IFERROR((M63-50000)/50000,0)</f>
        <v>0.045</v>
      </c>
      <c r="O63" s="34"/>
    </row>
    <row r="64" customFormat="false" ht="18" hidden="false" customHeight="true" outlineLevel="0" collapsed="false">
      <c r="A64" s="35"/>
      <c r="B64" s="35"/>
      <c r="C64" s="36"/>
      <c r="D64" s="35"/>
      <c r="E64" s="37"/>
      <c r="F64" s="37"/>
      <c r="G64" s="29" t="n">
        <f aca="false">IFERROR(IF(D64="LONG",E64+1.5*(E64-F64),E64-1.5*(F64-E64)),"")</f>
        <v>0</v>
      </c>
      <c r="H64" s="30" t="str">
        <f aca="false">IFERROR(ROUND(I64/(E64-F64),0),"")</f>
        <v/>
      </c>
      <c r="I64" s="29" t="n">
        <f aca="false">M63*0.03</f>
        <v>1567.5</v>
      </c>
      <c r="J64" s="29" t="n">
        <f aca="false">I64*1.5</f>
        <v>2351.25</v>
      </c>
      <c r="K64" s="35"/>
      <c r="L64" s="29" t="n">
        <f aca="false">IFERROR(IF(K64="WIN",J64,IF(K64="LOSS",-I64,0)),"")</f>
        <v>0</v>
      </c>
      <c r="M64" s="32" t="n">
        <f aca="false">IFERROR(M63+L64,M63)</f>
        <v>52250</v>
      </c>
      <c r="N64" s="33" t="n">
        <f aca="false">IFERROR((M64-50000)/50000,0)</f>
        <v>0.045</v>
      </c>
      <c r="O64" s="38"/>
    </row>
    <row r="65" customFormat="false" ht="18" hidden="false" customHeight="true" outlineLevel="0" collapsed="false">
      <c r="A65" s="26"/>
      <c r="B65" s="26"/>
      <c r="C65" s="27"/>
      <c r="D65" s="26"/>
      <c r="E65" s="39"/>
      <c r="F65" s="39"/>
      <c r="G65" s="29" t="n">
        <f aca="false">IFERROR(IF(D65="LONG",E65+1.5*(E65-F65),E65-1.5*(F65-E65)),"")</f>
        <v>0</v>
      </c>
      <c r="H65" s="30" t="str">
        <f aca="false">IFERROR(ROUND(I65/(E65-F65),0),"")</f>
        <v/>
      </c>
      <c r="I65" s="29" t="n">
        <f aca="false">M64*0.03</f>
        <v>1567.5</v>
      </c>
      <c r="J65" s="29" t="n">
        <f aca="false">I65*1.5</f>
        <v>2351.25</v>
      </c>
      <c r="K65" s="26"/>
      <c r="L65" s="29" t="n">
        <f aca="false">IFERROR(IF(K65="WIN",J65,IF(K65="LOSS",-I65,0)),"")</f>
        <v>0</v>
      </c>
      <c r="M65" s="32" t="n">
        <f aca="false">IFERROR(M64+L65,M64)</f>
        <v>52250</v>
      </c>
      <c r="N65" s="33" t="n">
        <f aca="false">IFERROR((M65-50000)/50000,0)</f>
        <v>0.045</v>
      </c>
      <c r="O65" s="34"/>
    </row>
    <row r="66" customFormat="false" ht="18" hidden="false" customHeight="true" outlineLevel="0" collapsed="false">
      <c r="A66" s="35"/>
      <c r="B66" s="35"/>
      <c r="C66" s="36"/>
      <c r="D66" s="35"/>
      <c r="E66" s="37"/>
      <c r="F66" s="37"/>
      <c r="G66" s="29" t="n">
        <f aca="false">IFERROR(IF(D66="LONG",E66+1.5*(E66-F66),E66-1.5*(F66-E66)),"")</f>
        <v>0</v>
      </c>
      <c r="H66" s="30" t="str">
        <f aca="false">IFERROR(ROUND(I66/(E66-F66),0),"")</f>
        <v/>
      </c>
      <c r="I66" s="29" t="n">
        <f aca="false">M65*0.03</f>
        <v>1567.5</v>
      </c>
      <c r="J66" s="29" t="n">
        <f aca="false">I66*1.5</f>
        <v>2351.25</v>
      </c>
      <c r="K66" s="35"/>
      <c r="L66" s="29" t="n">
        <f aca="false">IFERROR(IF(K66="WIN",J66,IF(K66="LOSS",-I66,0)),"")</f>
        <v>0</v>
      </c>
      <c r="M66" s="32" t="n">
        <f aca="false">IFERROR(M65+L66,M65)</f>
        <v>52250</v>
      </c>
      <c r="N66" s="33" t="n">
        <f aca="false">IFERROR((M66-50000)/50000,0)</f>
        <v>0.045</v>
      </c>
      <c r="O66" s="38"/>
    </row>
    <row r="67" customFormat="false" ht="18" hidden="false" customHeight="true" outlineLevel="0" collapsed="false">
      <c r="A67" s="26"/>
      <c r="B67" s="26"/>
      <c r="C67" s="27"/>
      <c r="D67" s="26"/>
      <c r="E67" s="39"/>
      <c r="F67" s="39"/>
      <c r="G67" s="29" t="n">
        <f aca="false">IFERROR(IF(D67="LONG",E67+1.5*(E67-F67),E67-1.5*(F67-E67)),"")</f>
        <v>0</v>
      </c>
      <c r="H67" s="30" t="str">
        <f aca="false">IFERROR(ROUND(I67/(E67-F67),0),"")</f>
        <v/>
      </c>
      <c r="I67" s="29" t="n">
        <f aca="false">M66*0.03</f>
        <v>1567.5</v>
      </c>
      <c r="J67" s="29" t="n">
        <f aca="false">I67*1.5</f>
        <v>2351.25</v>
      </c>
      <c r="K67" s="26"/>
      <c r="L67" s="29" t="n">
        <f aca="false">IFERROR(IF(K67="WIN",J67,IF(K67="LOSS",-I67,0)),"")</f>
        <v>0</v>
      </c>
      <c r="M67" s="32" t="n">
        <f aca="false">IFERROR(M66+L67,M66)</f>
        <v>52250</v>
      </c>
      <c r="N67" s="33" t="n">
        <f aca="false">IFERROR((M67-50000)/50000,0)</f>
        <v>0.045</v>
      </c>
      <c r="O67" s="34"/>
    </row>
    <row r="68" customFormat="false" ht="18" hidden="false" customHeight="true" outlineLevel="0" collapsed="false">
      <c r="A68" s="35"/>
      <c r="B68" s="35"/>
      <c r="C68" s="36"/>
      <c r="D68" s="35"/>
      <c r="E68" s="37"/>
      <c r="F68" s="37"/>
      <c r="G68" s="29" t="n">
        <f aca="false">IFERROR(IF(D68="LONG",E68+1.5*(E68-F68),E68-1.5*(F68-E68)),"")</f>
        <v>0</v>
      </c>
      <c r="H68" s="30" t="str">
        <f aca="false">IFERROR(ROUND(I68/(E68-F68),0),"")</f>
        <v/>
      </c>
      <c r="I68" s="29" t="n">
        <f aca="false">M67*0.03</f>
        <v>1567.5</v>
      </c>
      <c r="J68" s="29" t="n">
        <f aca="false">I68*1.5</f>
        <v>2351.25</v>
      </c>
      <c r="K68" s="35"/>
      <c r="L68" s="29" t="n">
        <f aca="false">IFERROR(IF(K68="WIN",J68,IF(K68="LOSS",-I68,0)),"")</f>
        <v>0</v>
      </c>
      <c r="M68" s="32" t="n">
        <f aca="false">IFERROR(M67+L68,M67)</f>
        <v>52250</v>
      </c>
      <c r="N68" s="33" t="n">
        <f aca="false">IFERROR((M68-50000)/50000,0)</f>
        <v>0.045</v>
      </c>
      <c r="O68" s="38"/>
    </row>
    <row r="69" customFormat="false" ht="18" hidden="false" customHeight="true" outlineLevel="0" collapsed="false">
      <c r="A69" s="26"/>
      <c r="B69" s="26"/>
      <c r="C69" s="27"/>
      <c r="D69" s="26"/>
      <c r="E69" s="39"/>
      <c r="F69" s="39"/>
      <c r="G69" s="29" t="n">
        <f aca="false">IFERROR(IF(D69="LONG",E69+1.5*(E69-F69),E69-1.5*(F69-E69)),"")</f>
        <v>0</v>
      </c>
      <c r="H69" s="30" t="str">
        <f aca="false">IFERROR(ROUND(I69/(E69-F69),0),"")</f>
        <v/>
      </c>
      <c r="I69" s="29" t="n">
        <f aca="false">M68*0.03</f>
        <v>1567.5</v>
      </c>
      <c r="J69" s="29" t="n">
        <f aca="false">I69*1.5</f>
        <v>2351.25</v>
      </c>
      <c r="K69" s="26"/>
      <c r="L69" s="29" t="n">
        <f aca="false">IFERROR(IF(K69="WIN",J69,IF(K69="LOSS",-I69,0)),"")</f>
        <v>0</v>
      </c>
      <c r="M69" s="32" t="n">
        <f aca="false">IFERROR(M68+L69,M68)</f>
        <v>52250</v>
      </c>
      <c r="N69" s="33" t="n">
        <f aca="false">IFERROR((M69-50000)/50000,0)</f>
        <v>0.045</v>
      </c>
      <c r="O69" s="34"/>
    </row>
    <row r="70" customFormat="false" ht="18" hidden="false" customHeight="true" outlineLevel="0" collapsed="false">
      <c r="A70" s="35"/>
      <c r="B70" s="35"/>
      <c r="C70" s="36"/>
      <c r="D70" s="35"/>
      <c r="E70" s="37"/>
      <c r="F70" s="37"/>
      <c r="G70" s="29" t="n">
        <f aca="false">IFERROR(IF(D70="LONG",E70+1.5*(E70-F70),E70-1.5*(F70-E70)),"")</f>
        <v>0</v>
      </c>
      <c r="H70" s="30" t="str">
        <f aca="false">IFERROR(ROUND(I70/(E70-F70),0),"")</f>
        <v/>
      </c>
      <c r="I70" s="29" t="n">
        <f aca="false">M69*0.03</f>
        <v>1567.5</v>
      </c>
      <c r="J70" s="29" t="n">
        <f aca="false">I70*1.5</f>
        <v>2351.25</v>
      </c>
      <c r="K70" s="35"/>
      <c r="L70" s="29" t="n">
        <f aca="false">IFERROR(IF(K70="WIN",J70,IF(K70="LOSS",-I70,0)),"")</f>
        <v>0</v>
      </c>
      <c r="M70" s="32" t="n">
        <f aca="false">IFERROR(M69+L70,M69)</f>
        <v>52250</v>
      </c>
      <c r="N70" s="33" t="n">
        <f aca="false">IFERROR((M70-50000)/50000,0)</f>
        <v>0.045</v>
      </c>
      <c r="O70" s="38"/>
    </row>
    <row r="71" customFormat="false" ht="18" hidden="false" customHeight="true" outlineLevel="0" collapsed="false">
      <c r="A71" s="26"/>
      <c r="B71" s="26"/>
      <c r="C71" s="27"/>
      <c r="D71" s="26"/>
      <c r="E71" s="39"/>
      <c r="F71" s="39"/>
      <c r="G71" s="29" t="n">
        <f aca="false">IFERROR(IF(D71="LONG",E71+1.5*(E71-F71),E71-1.5*(F71-E71)),"")</f>
        <v>0</v>
      </c>
      <c r="H71" s="30" t="str">
        <f aca="false">IFERROR(ROUND(I71/(E71-F71),0),"")</f>
        <v/>
      </c>
      <c r="I71" s="29" t="n">
        <f aca="false">M70*0.03</f>
        <v>1567.5</v>
      </c>
      <c r="J71" s="29" t="n">
        <f aca="false">I71*1.5</f>
        <v>2351.25</v>
      </c>
      <c r="K71" s="26"/>
      <c r="L71" s="29" t="n">
        <f aca="false">IFERROR(IF(K71="WIN",J71,IF(K71="LOSS",-I71,0)),"")</f>
        <v>0</v>
      </c>
      <c r="M71" s="32" t="n">
        <f aca="false">IFERROR(M70+L71,M70)</f>
        <v>52250</v>
      </c>
      <c r="N71" s="33" t="n">
        <f aca="false">IFERROR((M71-50000)/50000,0)</f>
        <v>0.045</v>
      </c>
      <c r="O71" s="34"/>
    </row>
    <row r="72" customFormat="false" ht="18" hidden="false" customHeight="true" outlineLevel="0" collapsed="false">
      <c r="A72" s="35"/>
      <c r="B72" s="35"/>
      <c r="C72" s="36"/>
      <c r="D72" s="35"/>
      <c r="E72" s="37"/>
      <c r="F72" s="37"/>
      <c r="G72" s="29" t="n">
        <f aca="false">IFERROR(IF(D72="LONG",E72+1.5*(E72-F72),E72-1.5*(F72-E72)),"")</f>
        <v>0</v>
      </c>
      <c r="H72" s="30" t="str">
        <f aca="false">IFERROR(ROUND(I72/(E72-F72),0),"")</f>
        <v/>
      </c>
      <c r="I72" s="29" t="n">
        <f aca="false">M71*0.03</f>
        <v>1567.5</v>
      </c>
      <c r="J72" s="29" t="n">
        <f aca="false">I72*1.5</f>
        <v>2351.25</v>
      </c>
      <c r="K72" s="35"/>
      <c r="L72" s="29" t="n">
        <f aca="false">IFERROR(IF(K72="WIN",J72,IF(K72="LOSS",-I72,0)),"")</f>
        <v>0</v>
      </c>
      <c r="M72" s="32" t="n">
        <f aca="false">IFERROR(M71+L72,M71)</f>
        <v>52250</v>
      </c>
      <c r="N72" s="33" t="n">
        <f aca="false">IFERROR((M72-50000)/50000,0)</f>
        <v>0.045</v>
      </c>
      <c r="O72" s="38"/>
    </row>
    <row r="73" customFormat="false" ht="18" hidden="false" customHeight="true" outlineLevel="0" collapsed="false">
      <c r="A73" s="26"/>
      <c r="B73" s="26"/>
      <c r="C73" s="27"/>
      <c r="D73" s="26"/>
      <c r="E73" s="39"/>
      <c r="F73" s="39"/>
      <c r="G73" s="29" t="n">
        <f aca="false">IFERROR(IF(D73="LONG",E73+1.5*(E73-F73),E73-1.5*(F73-E73)),"")</f>
        <v>0</v>
      </c>
      <c r="H73" s="30" t="str">
        <f aca="false">IFERROR(ROUND(I73/(E73-F73),0),"")</f>
        <v/>
      </c>
      <c r="I73" s="29" t="n">
        <f aca="false">M72*0.03</f>
        <v>1567.5</v>
      </c>
      <c r="J73" s="29" t="n">
        <f aca="false">I73*1.5</f>
        <v>2351.25</v>
      </c>
      <c r="K73" s="26"/>
      <c r="L73" s="29" t="n">
        <f aca="false">IFERROR(IF(K73="WIN",J73,IF(K73="LOSS",-I73,0)),"")</f>
        <v>0</v>
      </c>
      <c r="M73" s="32" t="n">
        <f aca="false">IFERROR(M72+L73,M72)</f>
        <v>52250</v>
      </c>
      <c r="N73" s="33" t="n">
        <f aca="false">IFERROR((M73-50000)/50000,0)</f>
        <v>0.045</v>
      </c>
      <c r="O73" s="34"/>
    </row>
    <row r="74" customFormat="false" ht="18" hidden="false" customHeight="true" outlineLevel="0" collapsed="false">
      <c r="A74" s="35"/>
      <c r="B74" s="35"/>
      <c r="C74" s="36"/>
      <c r="D74" s="35"/>
      <c r="E74" s="37"/>
      <c r="F74" s="37"/>
      <c r="G74" s="29" t="n">
        <f aca="false">IFERROR(IF(D74="LONG",E74+1.5*(E74-F74),E74-1.5*(F74-E74)),"")</f>
        <v>0</v>
      </c>
      <c r="H74" s="30" t="str">
        <f aca="false">IFERROR(ROUND(I74/(E74-F74),0),"")</f>
        <v/>
      </c>
      <c r="I74" s="29" t="n">
        <f aca="false">M73*0.03</f>
        <v>1567.5</v>
      </c>
      <c r="J74" s="29" t="n">
        <f aca="false">I74*1.5</f>
        <v>2351.25</v>
      </c>
      <c r="K74" s="35"/>
      <c r="L74" s="29" t="n">
        <f aca="false">IFERROR(IF(K74="WIN",J74,IF(K74="LOSS",-I74,0)),"")</f>
        <v>0</v>
      </c>
      <c r="M74" s="32" t="n">
        <f aca="false">IFERROR(M73+L74,M73)</f>
        <v>52250</v>
      </c>
      <c r="N74" s="33" t="n">
        <f aca="false">IFERROR((M74-50000)/50000,0)</f>
        <v>0.045</v>
      </c>
      <c r="O74" s="38"/>
    </row>
    <row r="75" customFormat="false" ht="18" hidden="false" customHeight="true" outlineLevel="0" collapsed="false">
      <c r="A75" s="26"/>
      <c r="B75" s="26"/>
      <c r="C75" s="27"/>
      <c r="D75" s="26"/>
      <c r="E75" s="39"/>
      <c r="F75" s="39"/>
      <c r="G75" s="29" t="n">
        <f aca="false">IFERROR(IF(D75="LONG",E75+1.5*(E75-F75),E75-1.5*(F75-E75)),"")</f>
        <v>0</v>
      </c>
      <c r="H75" s="30" t="str">
        <f aca="false">IFERROR(ROUND(I75/(E75-F75),0),"")</f>
        <v/>
      </c>
      <c r="I75" s="29" t="n">
        <f aca="false">M74*0.03</f>
        <v>1567.5</v>
      </c>
      <c r="J75" s="29" t="n">
        <f aca="false">I75*1.5</f>
        <v>2351.25</v>
      </c>
      <c r="K75" s="26"/>
      <c r="L75" s="29" t="n">
        <f aca="false">IFERROR(IF(K75="WIN",J75,IF(K75="LOSS",-I75,0)),"")</f>
        <v>0</v>
      </c>
      <c r="M75" s="32" t="n">
        <f aca="false">IFERROR(M74+L75,M74)</f>
        <v>52250</v>
      </c>
      <c r="N75" s="33" t="n">
        <f aca="false">IFERROR((M75-50000)/50000,0)</f>
        <v>0.045</v>
      </c>
      <c r="O75" s="34"/>
    </row>
    <row r="76" customFormat="false" ht="18" hidden="false" customHeight="true" outlineLevel="0" collapsed="false">
      <c r="A76" s="35"/>
      <c r="B76" s="35"/>
      <c r="C76" s="36"/>
      <c r="D76" s="35"/>
      <c r="E76" s="37"/>
      <c r="F76" s="37"/>
      <c r="G76" s="29" t="n">
        <f aca="false">IFERROR(IF(D76="LONG",E76+1.5*(E76-F76),E76-1.5*(F76-E76)),"")</f>
        <v>0</v>
      </c>
      <c r="H76" s="30" t="str">
        <f aca="false">IFERROR(ROUND(I76/(E76-F76),0),"")</f>
        <v/>
      </c>
      <c r="I76" s="29" t="n">
        <f aca="false">M75*0.03</f>
        <v>1567.5</v>
      </c>
      <c r="J76" s="29" t="n">
        <f aca="false">I76*1.5</f>
        <v>2351.25</v>
      </c>
      <c r="K76" s="35"/>
      <c r="L76" s="29" t="n">
        <f aca="false">IFERROR(IF(K76="WIN",J76,IF(K76="LOSS",-I76,0)),"")</f>
        <v>0</v>
      </c>
      <c r="M76" s="32" t="n">
        <f aca="false">IFERROR(M75+L76,M75)</f>
        <v>52250</v>
      </c>
      <c r="N76" s="33" t="n">
        <f aca="false">IFERROR((M76-50000)/50000,0)</f>
        <v>0.045</v>
      </c>
      <c r="O76" s="38"/>
    </row>
    <row r="77" customFormat="false" ht="18" hidden="false" customHeight="true" outlineLevel="0" collapsed="false">
      <c r="A77" s="26"/>
      <c r="B77" s="26"/>
      <c r="C77" s="27"/>
      <c r="D77" s="26"/>
      <c r="E77" s="39"/>
      <c r="F77" s="39"/>
      <c r="G77" s="29" t="n">
        <f aca="false">IFERROR(IF(D77="LONG",E77+1.5*(E77-F77),E77-1.5*(F77-E77)),"")</f>
        <v>0</v>
      </c>
      <c r="H77" s="30" t="str">
        <f aca="false">IFERROR(ROUND(I77/(E77-F77),0),"")</f>
        <v/>
      </c>
      <c r="I77" s="29" t="n">
        <f aca="false">M76*0.03</f>
        <v>1567.5</v>
      </c>
      <c r="J77" s="29" t="n">
        <f aca="false">I77*1.5</f>
        <v>2351.25</v>
      </c>
      <c r="K77" s="26"/>
      <c r="L77" s="29" t="n">
        <f aca="false">IFERROR(IF(K77="WIN",J77,IF(K77="LOSS",-I77,0)),"")</f>
        <v>0</v>
      </c>
      <c r="M77" s="32" t="n">
        <f aca="false">IFERROR(M76+L77,M76)</f>
        <v>52250</v>
      </c>
      <c r="N77" s="33" t="n">
        <f aca="false">IFERROR((M77-50000)/50000,0)</f>
        <v>0.045</v>
      </c>
      <c r="O77" s="34"/>
    </row>
    <row r="78" customFormat="false" ht="18" hidden="false" customHeight="true" outlineLevel="0" collapsed="false">
      <c r="A78" s="35"/>
      <c r="B78" s="35"/>
      <c r="C78" s="36"/>
      <c r="D78" s="35"/>
      <c r="E78" s="37"/>
      <c r="F78" s="37"/>
      <c r="G78" s="29" t="n">
        <f aca="false">IFERROR(IF(D78="LONG",E78+1.5*(E78-F78),E78-1.5*(F78-E78)),"")</f>
        <v>0</v>
      </c>
      <c r="H78" s="30" t="str">
        <f aca="false">IFERROR(ROUND(I78/(E78-F78),0),"")</f>
        <v/>
      </c>
      <c r="I78" s="29" t="n">
        <f aca="false">M77*0.03</f>
        <v>1567.5</v>
      </c>
      <c r="J78" s="29" t="n">
        <f aca="false">I78*1.5</f>
        <v>2351.25</v>
      </c>
      <c r="K78" s="35"/>
      <c r="L78" s="29" t="n">
        <f aca="false">IFERROR(IF(K78="WIN",J78,IF(K78="LOSS",-I78,0)),"")</f>
        <v>0</v>
      </c>
      <c r="M78" s="32" t="n">
        <f aca="false">IFERROR(M77+L78,M77)</f>
        <v>52250</v>
      </c>
      <c r="N78" s="33" t="n">
        <f aca="false">IFERROR((M78-50000)/50000,0)</f>
        <v>0.045</v>
      </c>
      <c r="O78" s="38"/>
    </row>
    <row r="79" customFormat="false" ht="18" hidden="false" customHeight="true" outlineLevel="0" collapsed="false">
      <c r="A79" s="26"/>
      <c r="B79" s="26"/>
      <c r="C79" s="27"/>
      <c r="D79" s="26"/>
      <c r="E79" s="39"/>
      <c r="F79" s="39"/>
      <c r="G79" s="29" t="n">
        <f aca="false">IFERROR(IF(D79="LONG",E79+1.5*(E79-F79),E79-1.5*(F79-E79)),"")</f>
        <v>0</v>
      </c>
      <c r="H79" s="30" t="str">
        <f aca="false">IFERROR(ROUND(I79/(E79-F79),0),"")</f>
        <v/>
      </c>
      <c r="I79" s="29" t="n">
        <f aca="false">M78*0.03</f>
        <v>1567.5</v>
      </c>
      <c r="J79" s="29" t="n">
        <f aca="false">I79*1.5</f>
        <v>2351.25</v>
      </c>
      <c r="K79" s="26"/>
      <c r="L79" s="29" t="n">
        <f aca="false">IFERROR(IF(K79="WIN",J79,IF(K79="LOSS",-I79,0)),"")</f>
        <v>0</v>
      </c>
      <c r="M79" s="32" t="n">
        <f aca="false">IFERROR(M78+L79,M78)</f>
        <v>52250</v>
      </c>
      <c r="N79" s="33" t="n">
        <f aca="false">IFERROR((M79-50000)/50000,0)</f>
        <v>0.045</v>
      </c>
      <c r="O79" s="34"/>
    </row>
    <row r="80" customFormat="false" ht="18" hidden="false" customHeight="true" outlineLevel="0" collapsed="false">
      <c r="A80" s="35"/>
      <c r="B80" s="35"/>
      <c r="C80" s="36"/>
      <c r="D80" s="35"/>
      <c r="E80" s="37"/>
      <c r="F80" s="37"/>
      <c r="G80" s="29" t="n">
        <f aca="false">IFERROR(IF(D80="LONG",E80+1.5*(E80-F80),E80-1.5*(F80-E80)),"")</f>
        <v>0</v>
      </c>
      <c r="H80" s="30" t="str">
        <f aca="false">IFERROR(ROUND(I80/(E80-F80),0),"")</f>
        <v/>
      </c>
      <c r="I80" s="29" t="n">
        <f aca="false">M79*0.03</f>
        <v>1567.5</v>
      </c>
      <c r="J80" s="29" t="n">
        <f aca="false">I80*1.5</f>
        <v>2351.25</v>
      </c>
      <c r="K80" s="35"/>
      <c r="L80" s="29" t="n">
        <f aca="false">IFERROR(IF(K80="WIN",J80,IF(K80="LOSS",-I80,0)),"")</f>
        <v>0</v>
      </c>
      <c r="M80" s="32" t="n">
        <f aca="false">IFERROR(M79+L80,M79)</f>
        <v>52250</v>
      </c>
      <c r="N80" s="33" t="n">
        <f aca="false">IFERROR((M80-50000)/50000,0)</f>
        <v>0.045</v>
      </c>
      <c r="O80" s="38"/>
    </row>
    <row r="81" customFormat="false" ht="18" hidden="false" customHeight="true" outlineLevel="0" collapsed="false">
      <c r="A81" s="26"/>
      <c r="B81" s="26"/>
      <c r="C81" s="27"/>
      <c r="D81" s="26"/>
      <c r="E81" s="39"/>
      <c r="F81" s="39"/>
      <c r="G81" s="29" t="n">
        <f aca="false">IFERROR(IF(D81="LONG",E81+1.5*(E81-F81),E81-1.5*(F81-E81)),"")</f>
        <v>0</v>
      </c>
      <c r="H81" s="30" t="str">
        <f aca="false">IFERROR(ROUND(I81/(E81-F81),0),"")</f>
        <v/>
      </c>
      <c r="I81" s="29" t="n">
        <f aca="false">M80*0.03</f>
        <v>1567.5</v>
      </c>
      <c r="J81" s="29" t="n">
        <f aca="false">I81*1.5</f>
        <v>2351.25</v>
      </c>
      <c r="K81" s="26"/>
      <c r="L81" s="29" t="n">
        <f aca="false">IFERROR(IF(K81="WIN",J81,IF(K81="LOSS",-I81,0)),"")</f>
        <v>0</v>
      </c>
      <c r="M81" s="32" t="n">
        <f aca="false">IFERROR(M80+L81,M80)</f>
        <v>52250</v>
      </c>
      <c r="N81" s="33" t="n">
        <f aca="false">IFERROR((M81-50000)/50000,0)</f>
        <v>0.045</v>
      </c>
      <c r="O81" s="34"/>
    </row>
    <row r="82" customFormat="false" ht="18" hidden="false" customHeight="true" outlineLevel="0" collapsed="false">
      <c r="A82" s="35"/>
      <c r="B82" s="35"/>
      <c r="C82" s="36"/>
      <c r="D82" s="35"/>
      <c r="E82" s="37"/>
      <c r="F82" s="37"/>
      <c r="G82" s="29" t="n">
        <f aca="false">IFERROR(IF(D82="LONG",E82+1.5*(E82-F82),E82-1.5*(F82-E82)),"")</f>
        <v>0</v>
      </c>
      <c r="H82" s="30" t="str">
        <f aca="false">IFERROR(ROUND(I82/(E82-F82),0),"")</f>
        <v/>
      </c>
      <c r="I82" s="29" t="n">
        <f aca="false">M81*0.03</f>
        <v>1567.5</v>
      </c>
      <c r="J82" s="29" t="n">
        <f aca="false">I82*1.5</f>
        <v>2351.25</v>
      </c>
      <c r="K82" s="35"/>
      <c r="L82" s="29" t="n">
        <f aca="false">IFERROR(IF(K82="WIN",J82,IF(K82="LOSS",-I82,0)),"")</f>
        <v>0</v>
      </c>
      <c r="M82" s="32" t="n">
        <f aca="false">IFERROR(M81+L82,M81)</f>
        <v>52250</v>
      </c>
      <c r="N82" s="33" t="n">
        <f aca="false">IFERROR((M82-50000)/50000,0)</f>
        <v>0.045</v>
      </c>
      <c r="O82" s="38"/>
    </row>
    <row r="83" customFormat="false" ht="18" hidden="false" customHeight="true" outlineLevel="0" collapsed="false">
      <c r="A83" s="26"/>
      <c r="B83" s="26"/>
      <c r="C83" s="27"/>
      <c r="D83" s="26"/>
      <c r="E83" s="39"/>
      <c r="F83" s="39"/>
      <c r="G83" s="29" t="n">
        <f aca="false">IFERROR(IF(D83="LONG",E83+1.5*(E83-F83),E83-1.5*(F83-E83)),"")</f>
        <v>0</v>
      </c>
      <c r="H83" s="30" t="str">
        <f aca="false">IFERROR(ROUND(I83/(E83-F83),0),"")</f>
        <v/>
      </c>
      <c r="I83" s="29" t="n">
        <f aca="false">M82*0.03</f>
        <v>1567.5</v>
      </c>
      <c r="J83" s="29" t="n">
        <f aca="false">I83*1.5</f>
        <v>2351.25</v>
      </c>
      <c r="K83" s="26"/>
      <c r="L83" s="29" t="n">
        <f aca="false">IFERROR(IF(K83="WIN",J83,IF(K83="LOSS",-I83,0)),"")</f>
        <v>0</v>
      </c>
      <c r="M83" s="32" t="n">
        <f aca="false">IFERROR(M82+L83,M82)</f>
        <v>52250</v>
      </c>
      <c r="N83" s="33" t="n">
        <f aca="false">IFERROR((M83-50000)/50000,0)</f>
        <v>0.045</v>
      </c>
      <c r="O83" s="34"/>
    </row>
    <row r="84" customFormat="false" ht="18" hidden="false" customHeight="true" outlineLevel="0" collapsed="false">
      <c r="A84" s="35"/>
      <c r="B84" s="35"/>
      <c r="C84" s="36"/>
      <c r="D84" s="35"/>
      <c r="E84" s="37"/>
      <c r="F84" s="37"/>
      <c r="G84" s="29" t="n">
        <f aca="false">IFERROR(IF(D84="LONG",E84+1.5*(E84-F84),E84-1.5*(F84-E84)),"")</f>
        <v>0</v>
      </c>
      <c r="H84" s="30" t="str">
        <f aca="false">IFERROR(ROUND(I84/(E84-F84),0),"")</f>
        <v/>
      </c>
      <c r="I84" s="29" t="n">
        <f aca="false">M83*0.03</f>
        <v>1567.5</v>
      </c>
      <c r="J84" s="29" t="n">
        <f aca="false">I84*1.5</f>
        <v>2351.25</v>
      </c>
      <c r="K84" s="35"/>
      <c r="L84" s="29" t="n">
        <f aca="false">IFERROR(IF(K84="WIN",J84,IF(K84="LOSS",-I84,0)),"")</f>
        <v>0</v>
      </c>
      <c r="M84" s="32" t="n">
        <f aca="false">IFERROR(M83+L84,M83)</f>
        <v>52250</v>
      </c>
      <c r="N84" s="33" t="n">
        <f aca="false">IFERROR((M84-50000)/50000,0)</f>
        <v>0.045</v>
      </c>
      <c r="O84" s="38"/>
    </row>
    <row r="85" customFormat="false" ht="18" hidden="false" customHeight="true" outlineLevel="0" collapsed="false">
      <c r="A85" s="26"/>
      <c r="B85" s="26"/>
      <c r="C85" s="27"/>
      <c r="D85" s="26"/>
      <c r="E85" s="39"/>
      <c r="F85" s="39"/>
      <c r="G85" s="29" t="n">
        <f aca="false">IFERROR(IF(D85="LONG",E85+1.5*(E85-F85),E85-1.5*(F85-E85)),"")</f>
        <v>0</v>
      </c>
      <c r="H85" s="30" t="str">
        <f aca="false">IFERROR(ROUND(I85/(E85-F85),0),"")</f>
        <v/>
      </c>
      <c r="I85" s="29" t="n">
        <f aca="false">M84*0.03</f>
        <v>1567.5</v>
      </c>
      <c r="J85" s="29" t="n">
        <f aca="false">I85*1.5</f>
        <v>2351.25</v>
      </c>
      <c r="K85" s="26"/>
      <c r="L85" s="29" t="n">
        <f aca="false">IFERROR(IF(K85="WIN",J85,IF(K85="LOSS",-I85,0)),"")</f>
        <v>0</v>
      </c>
      <c r="M85" s="32" t="n">
        <f aca="false">IFERROR(M84+L85,M84)</f>
        <v>52250</v>
      </c>
      <c r="N85" s="33" t="n">
        <f aca="false">IFERROR((M85-50000)/50000,0)</f>
        <v>0.045</v>
      </c>
      <c r="O85" s="34"/>
    </row>
    <row r="86" customFormat="false" ht="18" hidden="false" customHeight="true" outlineLevel="0" collapsed="false">
      <c r="A86" s="35"/>
      <c r="B86" s="35"/>
      <c r="C86" s="36"/>
      <c r="D86" s="35"/>
      <c r="E86" s="37"/>
      <c r="F86" s="37"/>
      <c r="G86" s="29" t="n">
        <f aca="false">IFERROR(IF(D86="LONG",E86+1.5*(E86-F86),E86-1.5*(F86-E86)),"")</f>
        <v>0</v>
      </c>
      <c r="H86" s="30" t="str">
        <f aca="false">IFERROR(ROUND(I86/(E86-F86),0),"")</f>
        <v/>
      </c>
      <c r="I86" s="29" t="n">
        <f aca="false">M85*0.03</f>
        <v>1567.5</v>
      </c>
      <c r="J86" s="29" t="n">
        <f aca="false">I86*1.5</f>
        <v>2351.25</v>
      </c>
      <c r="K86" s="35"/>
      <c r="L86" s="29" t="n">
        <f aca="false">IFERROR(IF(K86="WIN",J86,IF(K86="LOSS",-I86,0)),"")</f>
        <v>0</v>
      </c>
      <c r="M86" s="32" t="n">
        <f aca="false">IFERROR(M85+L86,M85)</f>
        <v>52250</v>
      </c>
      <c r="N86" s="33" t="n">
        <f aca="false">IFERROR((M86-50000)/50000,0)</f>
        <v>0.045</v>
      </c>
      <c r="O86" s="38"/>
    </row>
    <row r="87" customFormat="false" ht="18" hidden="false" customHeight="true" outlineLevel="0" collapsed="false">
      <c r="A87" s="26"/>
      <c r="B87" s="26"/>
      <c r="C87" s="27"/>
      <c r="D87" s="26"/>
      <c r="E87" s="39"/>
      <c r="F87" s="39"/>
      <c r="G87" s="29" t="n">
        <f aca="false">IFERROR(IF(D87="LONG",E87+1.5*(E87-F87),E87-1.5*(F87-E87)),"")</f>
        <v>0</v>
      </c>
      <c r="H87" s="30" t="str">
        <f aca="false">IFERROR(ROUND(I87/(E87-F87),0),"")</f>
        <v/>
      </c>
      <c r="I87" s="29" t="n">
        <f aca="false">M86*0.03</f>
        <v>1567.5</v>
      </c>
      <c r="J87" s="29" t="n">
        <f aca="false">I87*1.5</f>
        <v>2351.25</v>
      </c>
      <c r="K87" s="26"/>
      <c r="L87" s="29" t="n">
        <f aca="false">IFERROR(IF(K87="WIN",J87,IF(K87="LOSS",-I87,0)),"")</f>
        <v>0</v>
      </c>
      <c r="M87" s="32" t="n">
        <f aca="false">IFERROR(M86+L87,M86)</f>
        <v>52250</v>
      </c>
      <c r="N87" s="33" t="n">
        <f aca="false">IFERROR((M87-50000)/50000,0)</f>
        <v>0.045</v>
      </c>
      <c r="O87" s="34"/>
    </row>
    <row r="88" customFormat="false" ht="18" hidden="false" customHeight="true" outlineLevel="0" collapsed="false">
      <c r="A88" s="35"/>
      <c r="B88" s="35"/>
      <c r="C88" s="36"/>
      <c r="D88" s="35"/>
      <c r="E88" s="37"/>
      <c r="F88" s="37"/>
      <c r="G88" s="29" t="n">
        <f aca="false">IFERROR(IF(D88="LONG",E88+1.5*(E88-F88),E88-1.5*(F88-E88)),"")</f>
        <v>0</v>
      </c>
      <c r="H88" s="30" t="str">
        <f aca="false">IFERROR(ROUND(I88/(E88-F88),0),"")</f>
        <v/>
      </c>
      <c r="I88" s="29" t="n">
        <f aca="false">M87*0.03</f>
        <v>1567.5</v>
      </c>
      <c r="J88" s="29" t="n">
        <f aca="false">I88*1.5</f>
        <v>2351.25</v>
      </c>
      <c r="K88" s="35"/>
      <c r="L88" s="29" t="n">
        <f aca="false">IFERROR(IF(K88="WIN",J88,IF(K88="LOSS",-I88,0)),"")</f>
        <v>0</v>
      </c>
      <c r="M88" s="32" t="n">
        <f aca="false">IFERROR(M87+L88,M87)</f>
        <v>52250</v>
      </c>
      <c r="N88" s="33" t="n">
        <f aca="false">IFERROR((M88-50000)/50000,0)</f>
        <v>0.045</v>
      </c>
      <c r="O88" s="38"/>
    </row>
    <row r="89" customFormat="false" ht="18" hidden="false" customHeight="true" outlineLevel="0" collapsed="false">
      <c r="A89" s="26"/>
      <c r="B89" s="26"/>
      <c r="C89" s="27"/>
      <c r="D89" s="26"/>
      <c r="E89" s="39"/>
      <c r="F89" s="39"/>
      <c r="G89" s="29" t="n">
        <f aca="false">IFERROR(IF(D89="LONG",E89+1.5*(E89-F89),E89-1.5*(F89-E89)),"")</f>
        <v>0</v>
      </c>
      <c r="H89" s="30" t="str">
        <f aca="false">IFERROR(ROUND(I89/(E89-F89),0),"")</f>
        <v/>
      </c>
      <c r="I89" s="29" t="n">
        <f aca="false">M88*0.03</f>
        <v>1567.5</v>
      </c>
      <c r="J89" s="29" t="n">
        <f aca="false">I89*1.5</f>
        <v>2351.25</v>
      </c>
      <c r="K89" s="26"/>
      <c r="L89" s="29" t="n">
        <f aca="false">IFERROR(IF(K89="WIN",J89,IF(K89="LOSS",-I89,0)),"")</f>
        <v>0</v>
      </c>
      <c r="M89" s="32" t="n">
        <f aca="false">IFERROR(M88+L89,M88)</f>
        <v>52250</v>
      </c>
      <c r="N89" s="33" t="n">
        <f aca="false">IFERROR((M89-50000)/50000,0)</f>
        <v>0.045</v>
      </c>
      <c r="O89" s="34"/>
    </row>
    <row r="90" customFormat="false" ht="18" hidden="false" customHeight="true" outlineLevel="0" collapsed="false">
      <c r="A90" s="35"/>
      <c r="B90" s="35"/>
      <c r="C90" s="36"/>
      <c r="D90" s="35"/>
      <c r="E90" s="37"/>
      <c r="F90" s="37"/>
      <c r="G90" s="29" t="n">
        <f aca="false">IFERROR(IF(D90="LONG",E90+1.5*(E90-F90),E90-1.5*(F90-E90)),"")</f>
        <v>0</v>
      </c>
      <c r="H90" s="30" t="str">
        <f aca="false">IFERROR(ROUND(I90/(E90-F90),0),"")</f>
        <v/>
      </c>
      <c r="I90" s="29" t="n">
        <f aca="false">M89*0.03</f>
        <v>1567.5</v>
      </c>
      <c r="J90" s="29" t="n">
        <f aca="false">I90*1.5</f>
        <v>2351.25</v>
      </c>
      <c r="K90" s="35"/>
      <c r="L90" s="29" t="n">
        <f aca="false">IFERROR(IF(K90="WIN",J90,IF(K90="LOSS",-I90,0)),"")</f>
        <v>0</v>
      </c>
      <c r="M90" s="32" t="n">
        <f aca="false">IFERROR(M89+L90,M89)</f>
        <v>52250</v>
      </c>
      <c r="N90" s="33" t="n">
        <f aca="false">IFERROR((M90-50000)/50000,0)</f>
        <v>0.045</v>
      </c>
      <c r="O90" s="38"/>
    </row>
    <row r="91" customFormat="false" ht="18" hidden="false" customHeight="true" outlineLevel="0" collapsed="false">
      <c r="A91" s="26"/>
      <c r="B91" s="26"/>
      <c r="C91" s="27"/>
      <c r="D91" s="26"/>
      <c r="E91" s="39"/>
      <c r="F91" s="39"/>
      <c r="G91" s="29" t="n">
        <f aca="false">IFERROR(IF(D91="LONG",E91+1.5*(E91-F91),E91-1.5*(F91-E91)),"")</f>
        <v>0</v>
      </c>
      <c r="H91" s="30" t="str">
        <f aca="false">IFERROR(ROUND(I91/(E91-F91),0),"")</f>
        <v/>
      </c>
      <c r="I91" s="29" t="n">
        <f aca="false">M90*0.03</f>
        <v>1567.5</v>
      </c>
      <c r="J91" s="29" t="n">
        <f aca="false">I91*1.5</f>
        <v>2351.25</v>
      </c>
      <c r="K91" s="26"/>
      <c r="L91" s="29" t="n">
        <f aca="false">IFERROR(IF(K91="WIN",J91,IF(K91="LOSS",-I91,0)),"")</f>
        <v>0</v>
      </c>
      <c r="M91" s="32" t="n">
        <f aca="false">IFERROR(M90+L91,M90)</f>
        <v>52250</v>
      </c>
      <c r="N91" s="33" t="n">
        <f aca="false">IFERROR((M91-50000)/50000,0)</f>
        <v>0.045</v>
      </c>
      <c r="O91" s="34"/>
    </row>
    <row r="92" customFormat="false" ht="18" hidden="false" customHeight="true" outlineLevel="0" collapsed="false">
      <c r="A92" s="35"/>
      <c r="B92" s="35"/>
      <c r="C92" s="36"/>
      <c r="D92" s="35"/>
      <c r="E92" s="37"/>
      <c r="F92" s="37"/>
      <c r="G92" s="29" t="n">
        <f aca="false">IFERROR(IF(D92="LONG",E92+1.5*(E92-F92),E92-1.5*(F92-E92)),"")</f>
        <v>0</v>
      </c>
      <c r="H92" s="30" t="str">
        <f aca="false">IFERROR(ROUND(I92/(E92-F92),0),"")</f>
        <v/>
      </c>
      <c r="I92" s="29" t="n">
        <f aca="false">M91*0.03</f>
        <v>1567.5</v>
      </c>
      <c r="J92" s="29" t="n">
        <f aca="false">I92*1.5</f>
        <v>2351.25</v>
      </c>
      <c r="K92" s="35"/>
      <c r="L92" s="29" t="n">
        <f aca="false">IFERROR(IF(K92="WIN",J92,IF(K92="LOSS",-I92,0)),"")</f>
        <v>0</v>
      </c>
      <c r="M92" s="32" t="n">
        <f aca="false">IFERROR(M91+L92,M91)</f>
        <v>52250</v>
      </c>
      <c r="N92" s="33" t="n">
        <f aca="false">IFERROR((M92-50000)/50000,0)</f>
        <v>0.045</v>
      </c>
      <c r="O92" s="38"/>
    </row>
    <row r="93" customFormat="false" ht="18" hidden="false" customHeight="true" outlineLevel="0" collapsed="false">
      <c r="A93" s="26"/>
      <c r="B93" s="26"/>
      <c r="C93" s="27"/>
      <c r="D93" s="26"/>
      <c r="E93" s="39"/>
      <c r="F93" s="39"/>
      <c r="G93" s="29" t="n">
        <f aca="false">IFERROR(IF(D93="LONG",E93+1.5*(E93-F93),E93-1.5*(F93-E93)),"")</f>
        <v>0</v>
      </c>
      <c r="H93" s="30" t="str">
        <f aca="false">IFERROR(ROUND(I93/(E93-F93),0),"")</f>
        <v/>
      </c>
      <c r="I93" s="29" t="n">
        <f aca="false">M92*0.03</f>
        <v>1567.5</v>
      </c>
      <c r="J93" s="29" t="n">
        <f aca="false">I93*1.5</f>
        <v>2351.25</v>
      </c>
      <c r="K93" s="26"/>
      <c r="L93" s="29" t="n">
        <f aca="false">IFERROR(IF(K93="WIN",J93,IF(K93="LOSS",-I93,0)),"")</f>
        <v>0</v>
      </c>
      <c r="M93" s="32" t="n">
        <f aca="false">IFERROR(M92+L93,M92)</f>
        <v>52250</v>
      </c>
      <c r="N93" s="33" t="n">
        <f aca="false">IFERROR((M93-50000)/50000,0)</f>
        <v>0.045</v>
      </c>
      <c r="O93" s="34"/>
    </row>
    <row r="94" customFormat="false" ht="18" hidden="false" customHeight="true" outlineLevel="0" collapsed="false">
      <c r="A94" s="35"/>
      <c r="B94" s="35"/>
      <c r="C94" s="36"/>
      <c r="D94" s="35"/>
      <c r="E94" s="37"/>
      <c r="F94" s="37"/>
      <c r="G94" s="29" t="n">
        <f aca="false">IFERROR(IF(D94="LONG",E94+1.5*(E94-F94),E94-1.5*(F94-E94)),"")</f>
        <v>0</v>
      </c>
      <c r="H94" s="30" t="str">
        <f aca="false">IFERROR(ROUND(I94/(E94-F94),0),"")</f>
        <v/>
      </c>
      <c r="I94" s="29" t="n">
        <f aca="false">M93*0.03</f>
        <v>1567.5</v>
      </c>
      <c r="J94" s="29" t="n">
        <f aca="false">I94*1.5</f>
        <v>2351.25</v>
      </c>
      <c r="K94" s="35"/>
      <c r="L94" s="29" t="n">
        <f aca="false">IFERROR(IF(K94="WIN",J94,IF(K94="LOSS",-I94,0)),"")</f>
        <v>0</v>
      </c>
      <c r="M94" s="32" t="n">
        <f aca="false">IFERROR(M93+L94,M93)</f>
        <v>52250</v>
      </c>
      <c r="N94" s="33" t="n">
        <f aca="false">IFERROR((M94-50000)/50000,0)</f>
        <v>0.045</v>
      </c>
      <c r="O94" s="38"/>
    </row>
    <row r="95" customFormat="false" ht="18" hidden="false" customHeight="true" outlineLevel="0" collapsed="false">
      <c r="A95" s="26"/>
      <c r="B95" s="26"/>
      <c r="C95" s="27"/>
      <c r="D95" s="26"/>
      <c r="E95" s="39"/>
      <c r="F95" s="39"/>
      <c r="G95" s="29" t="n">
        <f aca="false">IFERROR(IF(D95="LONG",E95+1.5*(E95-F95),E95-1.5*(F95-E95)),"")</f>
        <v>0</v>
      </c>
      <c r="H95" s="30" t="str">
        <f aca="false">IFERROR(ROUND(I95/(E95-F95),0),"")</f>
        <v/>
      </c>
      <c r="I95" s="29" t="n">
        <f aca="false">M94*0.03</f>
        <v>1567.5</v>
      </c>
      <c r="J95" s="29" t="n">
        <f aca="false">I95*1.5</f>
        <v>2351.25</v>
      </c>
      <c r="K95" s="26"/>
      <c r="L95" s="29" t="n">
        <f aca="false">IFERROR(IF(K95="WIN",J95,IF(K95="LOSS",-I95,0)),"")</f>
        <v>0</v>
      </c>
      <c r="M95" s="32" t="n">
        <f aca="false">IFERROR(M94+L95,M94)</f>
        <v>52250</v>
      </c>
      <c r="N95" s="33" t="n">
        <f aca="false">IFERROR((M95-50000)/50000,0)</f>
        <v>0.045</v>
      </c>
      <c r="O95" s="34"/>
    </row>
    <row r="96" customFormat="false" ht="18" hidden="false" customHeight="true" outlineLevel="0" collapsed="false">
      <c r="A96" s="35"/>
      <c r="B96" s="35"/>
      <c r="C96" s="36"/>
      <c r="D96" s="35"/>
      <c r="E96" s="37"/>
      <c r="F96" s="37"/>
      <c r="G96" s="29" t="n">
        <f aca="false">IFERROR(IF(D96="LONG",E96+1.5*(E96-F96),E96-1.5*(F96-E96)),"")</f>
        <v>0</v>
      </c>
      <c r="H96" s="30" t="str">
        <f aca="false">IFERROR(ROUND(I96/(E96-F96),0),"")</f>
        <v/>
      </c>
      <c r="I96" s="29" t="n">
        <f aca="false">M95*0.03</f>
        <v>1567.5</v>
      </c>
      <c r="J96" s="29" t="n">
        <f aca="false">I96*1.5</f>
        <v>2351.25</v>
      </c>
      <c r="K96" s="35"/>
      <c r="L96" s="29" t="n">
        <f aca="false">IFERROR(IF(K96="WIN",J96,IF(K96="LOSS",-I96,0)),"")</f>
        <v>0</v>
      </c>
      <c r="M96" s="32" t="n">
        <f aca="false">IFERROR(M95+L96,M95)</f>
        <v>52250</v>
      </c>
      <c r="N96" s="33" t="n">
        <f aca="false">IFERROR((M96-50000)/50000,0)</f>
        <v>0.045</v>
      </c>
      <c r="O96" s="38"/>
    </row>
    <row r="97" customFormat="false" ht="18" hidden="false" customHeight="true" outlineLevel="0" collapsed="false">
      <c r="A97" s="26"/>
      <c r="B97" s="26"/>
      <c r="C97" s="27"/>
      <c r="D97" s="26"/>
      <c r="E97" s="39"/>
      <c r="F97" s="39"/>
      <c r="G97" s="29" t="n">
        <f aca="false">IFERROR(IF(D97="LONG",E97+1.5*(E97-F97),E97-1.5*(F97-E97)),"")</f>
        <v>0</v>
      </c>
      <c r="H97" s="30" t="str">
        <f aca="false">IFERROR(ROUND(I97/(E97-F97),0),"")</f>
        <v/>
      </c>
      <c r="I97" s="29" t="n">
        <f aca="false">M96*0.03</f>
        <v>1567.5</v>
      </c>
      <c r="J97" s="29" t="n">
        <f aca="false">I97*1.5</f>
        <v>2351.25</v>
      </c>
      <c r="K97" s="26"/>
      <c r="L97" s="29" t="n">
        <f aca="false">IFERROR(IF(K97="WIN",J97,IF(K97="LOSS",-I97,0)),"")</f>
        <v>0</v>
      </c>
      <c r="M97" s="32" t="n">
        <f aca="false">IFERROR(M96+L97,M96)</f>
        <v>52250</v>
      </c>
      <c r="N97" s="33" t="n">
        <f aca="false">IFERROR((M97-50000)/50000,0)</f>
        <v>0.045</v>
      </c>
      <c r="O97" s="34"/>
    </row>
    <row r="98" customFormat="false" ht="18" hidden="false" customHeight="true" outlineLevel="0" collapsed="false">
      <c r="A98" s="35"/>
      <c r="B98" s="35"/>
      <c r="C98" s="36"/>
      <c r="D98" s="35"/>
      <c r="E98" s="37"/>
      <c r="F98" s="37"/>
      <c r="G98" s="29" t="n">
        <f aca="false">IFERROR(IF(D98="LONG",E98+1.5*(E98-F98),E98-1.5*(F98-E98)),"")</f>
        <v>0</v>
      </c>
      <c r="H98" s="30" t="str">
        <f aca="false">IFERROR(ROUND(I98/(E98-F98),0),"")</f>
        <v/>
      </c>
      <c r="I98" s="29" t="n">
        <f aca="false">M97*0.03</f>
        <v>1567.5</v>
      </c>
      <c r="J98" s="29" t="n">
        <f aca="false">I98*1.5</f>
        <v>2351.25</v>
      </c>
      <c r="K98" s="35"/>
      <c r="L98" s="29" t="n">
        <f aca="false">IFERROR(IF(K98="WIN",J98,IF(K98="LOSS",-I98,0)),"")</f>
        <v>0</v>
      </c>
      <c r="M98" s="32" t="n">
        <f aca="false">IFERROR(M97+L98,M97)</f>
        <v>52250</v>
      </c>
      <c r="N98" s="33" t="n">
        <f aca="false">IFERROR((M98-50000)/50000,0)</f>
        <v>0.045</v>
      </c>
      <c r="O98" s="38"/>
    </row>
    <row r="99" customFormat="false" ht="18" hidden="false" customHeight="true" outlineLevel="0" collapsed="false">
      <c r="A99" s="26"/>
      <c r="B99" s="26"/>
      <c r="C99" s="27"/>
      <c r="D99" s="26"/>
      <c r="E99" s="39"/>
      <c r="F99" s="39"/>
      <c r="G99" s="29" t="n">
        <f aca="false">IFERROR(IF(D99="LONG",E99+1.5*(E99-F99),E99-1.5*(F99-E99)),"")</f>
        <v>0</v>
      </c>
      <c r="H99" s="30" t="str">
        <f aca="false">IFERROR(ROUND(I99/(E99-F99),0),"")</f>
        <v/>
      </c>
      <c r="I99" s="29" t="n">
        <f aca="false">M98*0.03</f>
        <v>1567.5</v>
      </c>
      <c r="J99" s="29" t="n">
        <f aca="false">I99*1.5</f>
        <v>2351.25</v>
      </c>
      <c r="K99" s="26"/>
      <c r="L99" s="29" t="n">
        <f aca="false">IFERROR(IF(K99="WIN",J99,IF(K99="LOSS",-I99,0)),"")</f>
        <v>0</v>
      </c>
      <c r="M99" s="32" t="n">
        <f aca="false">IFERROR(M98+L99,M98)</f>
        <v>52250</v>
      </c>
      <c r="N99" s="33" t="n">
        <f aca="false">IFERROR((M99-50000)/50000,0)</f>
        <v>0.045</v>
      </c>
      <c r="O99" s="34"/>
    </row>
    <row r="100" customFormat="false" ht="18" hidden="false" customHeight="true" outlineLevel="0" collapsed="false">
      <c r="A100" s="35"/>
      <c r="B100" s="35"/>
      <c r="C100" s="36"/>
      <c r="D100" s="35"/>
      <c r="E100" s="37"/>
      <c r="F100" s="37"/>
      <c r="G100" s="29" t="n">
        <f aca="false">IFERROR(IF(D100="LONG",E100+1.5*(E100-F100),E100-1.5*(F100-E100)),"")</f>
        <v>0</v>
      </c>
      <c r="H100" s="30" t="str">
        <f aca="false">IFERROR(ROUND(I100/(E100-F100),0),"")</f>
        <v/>
      </c>
      <c r="I100" s="29" t="n">
        <f aca="false">M99*0.03</f>
        <v>1567.5</v>
      </c>
      <c r="J100" s="29" t="n">
        <f aca="false">I100*1.5</f>
        <v>2351.25</v>
      </c>
      <c r="K100" s="35"/>
      <c r="L100" s="29" t="n">
        <f aca="false">IFERROR(IF(K100="WIN",J100,IF(K100="LOSS",-I100,0)),"")</f>
        <v>0</v>
      </c>
      <c r="M100" s="32" t="n">
        <f aca="false">IFERROR(M99+L100,M99)</f>
        <v>52250</v>
      </c>
      <c r="N100" s="33" t="n">
        <f aca="false">IFERROR((M100-50000)/50000,0)</f>
        <v>0.045</v>
      </c>
      <c r="O100" s="38"/>
    </row>
    <row r="101" customFormat="false" ht="18" hidden="false" customHeight="true" outlineLevel="0" collapsed="false">
      <c r="A101" s="26"/>
      <c r="B101" s="26"/>
      <c r="C101" s="27"/>
      <c r="D101" s="26"/>
      <c r="E101" s="39"/>
      <c r="F101" s="39"/>
      <c r="G101" s="29" t="n">
        <f aca="false">IFERROR(IF(D101="LONG",E101+1.5*(E101-F101),E101-1.5*(F101-E101)),"")</f>
        <v>0</v>
      </c>
      <c r="H101" s="30" t="str">
        <f aca="false">IFERROR(ROUND(I101/(E101-F101),0),"")</f>
        <v/>
      </c>
      <c r="I101" s="29" t="n">
        <f aca="false">M100*0.03</f>
        <v>1567.5</v>
      </c>
      <c r="J101" s="29" t="n">
        <f aca="false">I101*1.5</f>
        <v>2351.25</v>
      </c>
      <c r="K101" s="26"/>
      <c r="L101" s="29" t="n">
        <f aca="false">IFERROR(IF(K101="WIN",J101,IF(K101="LOSS",-I101,0)),"")</f>
        <v>0</v>
      </c>
      <c r="M101" s="32" t="n">
        <f aca="false">IFERROR(M100+L101,M100)</f>
        <v>52250</v>
      </c>
      <c r="N101" s="33" t="n">
        <f aca="false">IFERROR((M101-50000)/50000,0)</f>
        <v>0.045</v>
      </c>
      <c r="O101" s="34"/>
    </row>
    <row r="102" customFormat="false" ht="18" hidden="false" customHeight="true" outlineLevel="0" collapsed="false">
      <c r="A102" s="35"/>
      <c r="B102" s="35"/>
      <c r="C102" s="36"/>
      <c r="D102" s="35"/>
      <c r="E102" s="37"/>
      <c r="F102" s="37"/>
      <c r="G102" s="29" t="n">
        <f aca="false">IFERROR(IF(D102="LONG",E102+1.5*(E102-F102),E102-1.5*(F102-E102)),"")</f>
        <v>0</v>
      </c>
      <c r="H102" s="30" t="str">
        <f aca="false">IFERROR(ROUND(I102/(E102-F102),0),"")</f>
        <v/>
      </c>
      <c r="I102" s="29" t="n">
        <f aca="false">M101*0.03</f>
        <v>1567.5</v>
      </c>
      <c r="J102" s="29" t="n">
        <f aca="false">I102*1.5</f>
        <v>2351.25</v>
      </c>
      <c r="K102" s="35"/>
      <c r="L102" s="29" t="n">
        <f aca="false">IFERROR(IF(K102="WIN",J102,IF(K102="LOSS",-I102,0)),"")</f>
        <v>0</v>
      </c>
      <c r="M102" s="32" t="n">
        <f aca="false">IFERROR(M101+L102,M101)</f>
        <v>52250</v>
      </c>
      <c r="N102" s="33" t="n">
        <f aca="false">IFERROR((M102-50000)/50000,0)</f>
        <v>0.045</v>
      </c>
      <c r="O102" s="38"/>
    </row>
    <row r="105" customFormat="false" ht="15" hidden="false" customHeight="true" outlineLevel="0" collapsed="false">
      <c r="A105" s="40" t="s">
        <v>81</v>
      </c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</row>
  </sheetData>
  <mergeCells count="2">
    <mergeCell ref="A1:O1"/>
    <mergeCell ref="A105:O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9" min="3" style="1" width="18"/>
  </cols>
  <sheetData>
    <row r="1" customFormat="false" ht="34.5" hidden="false" customHeight="true" outlineLevel="0" collapsed="false">
      <c r="A1" s="41" t="s">
        <v>82</v>
      </c>
      <c r="B1" s="41"/>
      <c r="C1" s="41"/>
      <c r="D1" s="41"/>
      <c r="E1" s="41"/>
      <c r="F1" s="41"/>
      <c r="G1" s="41"/>
      <c r="H1" s="41"/>
      <c r="I1" s="41"/>
    </row>
    <row r="3" customFormat="false" ht="15" hidden="false" customHeight="true" outlineLevel="0" collapsed="false">
      <c r="A3" s="8" t="s">
        <v>83</v>
      </c>
      <c r="B3" s="8"/>
      <c r="C3" s="8"/>
    </row>
    <row r="4" customFormat="false" ht="15" hidden="false" customHeight="true" outlineLevel="0" collapsed="false">
      <c r="A4" s="42" t="s">
        <v>84</v>
      </c>
      <c r="B4" s="43" t="n">
        <v>50000</v>
      </c>
      <c r="C4" s="44" t="s">
        <v>85</v>
      </c>
    </row>
    <row r="5" customFormat="false" ht="15" hidden="false" customHeight="true" outlineLevel="0" collapsed="false">
      <c r="A5" s="42" t="s">
        <v>86</v>
      </c>
      <c r="B5" s="45" t="n">
        <v>0.03</v>
      </c>
      <c r="C5" s="44" t="s">
        <v>85</v>
      </c>
    </row>
    <row r="6" customFormat="false" ht="15" hidden="false" customHeight="true" outlineLevel="0" collapsed="false">
      <c r="A6" s="42" t="s">
        <v>87</v>
      </c>
      <c r="B6" s="46" t="n">
        <v>1.5</v>
      </c>
      <c r="C6" s="44" t="s">
        <v>85</v>
      </c>
    </row>
    <row r="7" customFormat="false" ht="15" hidden="false" customHeight="true" outlineLevel="0" collapsed="false">
      <c r="A7" s="42" t="s">
        <v>88</v>
      </c>
      <c r="B7" s="47" t="n">
        <v>2</v>
      </c>
      <c r="C7" s="44" t="s">
        <v>85</v>
      </c>
    </row>
    <row r="8" customFormat="false" ht="15" hidden="false" customHeight="true" outlineLevel="0" collapsed="false">
      <c r="A8" s="42" t="s">
        <v>89</v>
      </c>
      <c r="B8" s="47" t="n">
        <v>20</v>
      </c>
      <c r="C8" s="44" t="s">
        <v>85</v>
      </c>
    </row>
    <row r="11" customFormat="false" ht="15" hidden="false" customHeight="true" outlineLevel="0" collapsed="false">
      <c r="A11" s="48" t="s">
        <v>90</v>
      </c>
      <c r="B11" s="48"/>
      <c r="C11" s="48"/>
      <c r="D11" s="48"/>
      <c r="E11" s="48"/>
      <c r="F11" s="48"/>
      <c r="G11" s="48"/>
      <c r="H11" s="48"/>
      <c r="I11" s="48"/>
    </row>
    <row r="12" customFormat="false" ht="15" hidden="false" customHeight="true" outlineLevel="0" collapsed="false">
      <c r="A12" s="9" t="s">
        <v>91</v>
      </c>
      <c r="B12" s="9" t="s">
        <v>92</v>
      </c>
      <c r="C12" s="49" t="s">
        <v>93</v>
      </c>
      <c r="D12" s="49" t="s">
        <v>94</v>
      </c>
      <c r="E12" s="50" t="s">
        <v>95</v>
      </c>
      <c r="F12" s="50" t="s">
        <v>96</v>
      </c>
      <c r="G12" s="51" t="s">
        <v>97</v>
      </c>
      <c r="H12" s="51" t="s">
        <v>98</v>
      </c>
      <c r="I12" s="9" t="s">
        <v>75</v>
      </c>
    </row>
    <row r="13" customFormat="false" ht="15" hidden="false" customHeight="true" outlineLevel="0" collapsed="false">
      <c r="A13" s="52" t="s">
        <v>99</v>
      </c>
      <c r="B13" s="53" t="n">
        <v>10</v>
      </c>
      <c r="C13" s="54" t="n">
        <v>55918.48</v>
      </c>
      <c r="D13" s="55" t="n">
        <v>0.1183696</v>
      </c>
      <c r="E13" s="56" t="n">
        <v>60206.89</v>
      </c>
      <c r="F13" s="55" t="n">
        <v>0.2041378</v>
      </c>
      <c r="G13" s="56" t="n">
        <v>64789.06</v>
      </c>
      <c r="H13" s="55" t="n">
        <v>0.2957812</v>
      </c>
      <c r="I13" s="57"/>
    </row>
    <row r="14" customFormat="false" ht="15" hidden="false" customHeight="true" outlineLevel="0" collapsed="false">
      <c r="A14" s="58" t="s">
        <v>100</v>
      </c>
      <c r="B14" s="59" t="n">
        <v>20</v>
      </c>
      <c r="C14" s="60" t="n">
        <v>62537.53</v>
      </c>
      <c r="D14" s="61" t="n">
        <v>0.2507506</v>
      </c>
      <c r="E14" s="56" t="n">
        <v>72497.4</v>
      </c>
      <c r="F14" s="61" t="n">
        <v>0.449948</v>
      </c>
      <c r="G14" s="56" t="n">
        <v>83952.46</v>
      </c>
      <c r="H14" s="61" t="n">
        <v>0.6790492</v>
      </c>
      <c r="I14" s="57"/>
    </row>
    <row r="15" customFormat="false" ht="15" hidden="false" customHeight="true" outlineLevel="0" collapsed="false">
      <c r="A15" s="52" t="s">
        <v>101</v>
      </c>
      <c r="B15" s="53" t="n">
        <v>40</v>
      </c>
      <c r="C15" s="54" t="n">
        <v>78218.84</v>
      </c>
      <c r="D15" s="55" t="n">
        <v>0.5643768</v>
      </c>
      <c r="E15" s="56" t="n">
        <v>105117.46</v>
      </c>
      <c r="F15" s="55" t="n">
        <v>1.1023492</v>
      </c>
      <c r="G15" s="56" t="n">
        <v>140960.3</v>
      </c>
      <c r="H15" s="55" t="n">
        <v>1.819206</v>
      </c>
      <c r="I15" s="57"/>
    </row>
    <row r="16" customFormat="false" ht="15" hidden="false" customHeight="true" outlineLevel="0" collapsed="false">
      <c r="A16" s="58" t="s">
        <v>102</v>
      </c>
      <c r="B16" s="59" t="n">
        <v>80</v>
      </c>
      <c r="C16" s="60" t="n">
        <v>122363.75</v>
      </c>
      <c r="D16" s="61" t="n">
        <v>1.447275</v>
      </c>
      <c r="E16" s="56" t="n">
        <v>220993.62</v>
      </c>
      <c r="F16" s="61" t="n">
        <v>3.4198724</v>
      </c>
      <c r="G16" s="56" t="n">
        <v>397396.11</v>
      </c>
      <c r="H16" s="61" t="n">
        <v>6.9479222</v>
      </c>
      <c r="I16" s="57"/>
    </row>
    <row r="17" customFormat="false" ht="15" hidden="false" customHeight="true" outlineLevel="0" collapsed="false">
      <c r="A17" s="52" t="s">
        <v>103</v>
      </c>
      <c r="B17" s="53" t="n">
        <v>120</v>
      </c>
      <c r="C17" s="54" t="n">
        <v>191423.02</v>
      </c>
      <c r="D17" s="55" t="n">
        <v>2.8284604</v>
      </c>
      <c r="E17" s="56" t="n">
        <v>464605.79</v>
      </c>
      <c r="F17" s="55" t="n">
        <v>8.2921158</v>
      </c>
      <c r="G17" s="56" t="n">
        <v>1120341.49</v>
      </c>
      <c r="H17" s="55" t="n">
        <v>21.4068298</v>
      </c>
      <c r="I17" s="57"/>
    </row>
    <row r="18" customFormat="false" ht="15" hidden="false" customHeight="true" outlineLevel="0" collapsed="false">
      <c r="A18" s="58" t="s">
        <v>104</v>
      </c>
      <c r="B18" s="59" t="n">
        <v>240</v>
      </c>
      <c r="C18" s="60" t="n">
        <v>732855.44</v>
      </c>
      <c r="D18" s="61" t="n">
        <v>13.6571088</v>
      </c>
      <c r="E18" s="56" t="n">
        <v>4317170.73</v>
      </c>
      <c r="F18" s="61" t="n">
        <v>85.3434146</v>
      </c>
      <c r="G18" s="56" t="n">
        <v>25103301.08</v>
      </c>
      <c r="H18" s="61" t="n">
        <v>501.0660216</v>
      </c>
      <c r="I18" s="57"/>
    </row>
    <row r="19" customFormat="false" ht="15" hidden="false" customHeight="true" outlineLevel="0" collapsed="false">
      <c r="A19" s="52" t="s">
        <v>105</v>
      </c>
      <c r="B19" s="53" t="n">
        <v>360</v>
      </c>
      <c r="C19" s="54" t="n">
        <v>2805707.98</v>
      </c>
      <c r="D19" s="55" t="n">
        <v>55.1141596</v>
      </c>
      <c r="E19" s="56" t="n">
        <v>40115650.01</v>
      </c>
      <c r="F19" s="55" t="n">
        <v>801.3130002</v>
      </c>
      <c r="G19" s="56" t="n">
        <v>562485394.76</v>
      </c>
      <c r="H19" s="55" t="n">
        <v>11248.7078952</v>
      </c>
      <c r="I19" s="57"/>
    </row>
    <row r="20" customFormat="false" ht="15" hidden="false" customHeight="true" outlineLevel="0" collapsed="false">
      <c r="A20" s="58" t="s">
        <v>106</v>
      </c>
      <c r="B20" s="59" t="n">
        <v>480</v>
      </c>
      <c r="C20" s="60" t="n">
        <v>10741541.78</v>
      </c>
      <c r="D20" s="61" t="n">
        <v>213.8308356</v>
      </c>
      <c r="E20" s="56" t="n">
        <v>372759262.14</v>
      </c>
      <c r="F20" s="61" t="n">
        <v>7454.1852428</v>
      </c>
      <c r="G20" s="56" t="n">
        <v>12603514504.9</v>
      </c>
      <c r="H20" s="61" t="n">
        <v>252069.290098</v>
      </c>
      <c r="I20" s="57" t="s">
        <v>107</v>
      </c>
    </row>
    <row r="23" customFormat="false" ht="15" hidden="false" customHeight="true" outlineLevel="0" collapsed="false">
      <c r="A23" s="62" t="s">
        <v>108</v>
      </c>
      <c r="B23" s="62"/>
      <c r="C23" s="62"/>
      <c r="D23" s="62"/>
      <c r="E23" s="62"/>
      <c r="F23" s="62"/>
      <c r="G23" s="62"/>
      <c r="H23" s="62"/>
      <c r="I23" s="62"/>
    </row>
    <row r="24" customFormat="false" ht="15" hidden="false" customHeight="true" outlineLevel="0" collapsed="false">
      <c r="A24" s="9" t="s">
        <v>109</v>
      </c>
      <c r="B24" s="9" t="s">
        <v>110</v>
      </c>
      <c r="C24" s="9" t="s">
        <v>111</v>
      </c>
      <c r="D24" s="9" t="s">
        <v>112</v>
      </c>
      <c r="E24" s="63" t="s">
        <v>113</v>
      </c>
      <c r="F24" s="64" t="s">
        <v>114</v>
      </c>
      <c r="G24" s="9" t="s">
        <v>71</v>
      </c>
      <c r="H24" s="9" t="s">
        <v>115</v>
      </c>
      <c r="I24" s="9" t="s">
        <v>74</v>
      </c>
    </row>
    <row r="25" customFormat="false" ht="15" hidden="false" customHeight="true" outlineLevel="0" collapsed="false">
      <c r="A25" s="52" t="n">
        <v>1</v>
      </c>
      <c r="B25" s="65" t="n">
        <v>50000</v>
      </c>
      <c r="C25" s="65" t="n">
        <v>1500</v>
      </c>
      <c r="D25" s="65" t="n">
        <v>1500</v>
      </c>
      <c r="E25" s="65" t="n">
        <v>975</v>
      </c>
      <c r="F25" s="65" t="n">
        <v>2325</v>
      </c>
      <c r="G25" s="66" t="s">
        <v>79</v>
      </c>
      <c r="H25" s="67" t="n">
        <v>50825</v>
      </c>
      <c r="I25" s="68" t="n">
        <v>0.0165</v>
      </c>
    </row>
    <row r="26" customFormat="false" ht="15" hidden="false" customHeight="true" outlineLevel="0" collapsed="false">
      <c r="A26" s="58" t="n">
        <v>2</v>
      </c>
      <c r="B26" s="69" t="n">
        <v>50825</v>
      </c>
      <c r="C26" s="69" t="n">
        <v>1524.75</v>
      </c>
      <c r="D26" s="69" t="n">
        <v>1524.75</v>
      </c>
      <c r="E26" s="69" t="n">
        <v>991.09</v>
      </c>
      <c r="F26" s="69" t="n">
        <v>2363.36</v>
      </c>
      <c r="G26" s="66" t="s">
        <v>79</v>
      </c>
      <c r="H26" s="67" t="n">
        <v>51663.61</v>
      </c>
      <c r="I26" s="70" t="n">
        <v>0.0333</v>
      </c>
    </row>
    <row r="27" customFormat="false" ht="15" hidden="false" customHeight="true" outlineLevel="0" collapsed="false">
      <c r="A27" s="52" t="n">
        <v>3</v>
      </c>
      <c r="B27" s="65" t="n">
        <v>51663.61</v>
      </c>
      <c r="C27" s="65" t="n">
        <v>1549.91</v>
      </c>
      <c r="D27" s="65" t="n">
        <v>1549.91</v>
      </c>
      <c r="E27" s="65" t="n">
        <v>1007.44</v>
      </c>
      <c r="F27" s="65" t="n">
        <v>2402.36</v>
      </c>
      <c r="G27" s="71" t="s">
        <v>116</v>
      </c>
      <c r="H27" s="72" t="n">
        <v>51121.14</v>
      </c>
      <c r="I27" s="68" t="n">
        <v>0.0224</v>
      </c>
    </row>
    <row r="28" customFormat="false" ht="15" hidden="false" customHeight="true" outlineLevel="0" collapsed="false">
      <c r="A28" s="58" t="n">
        <v>4</v>
      </c>
      <c r="B28" s="69" t="n">
        <v>51121.14</v>
      </c>
      <c r="C28" s="69" t="n">
        <v>1533.63</v>
      </c>
      <c r="D28" s="69" t="n">
        <v>1533.63</v>
      </c>
      <c r="E28" s="69" t="n">
        <v>996.86</v>
      </c>
      <c r="F28" s="69" t="n">
        <v>2377.13</v>
      </c>
      <c r="G28" s="66" t="s">
        <v>79</v>
      </c>
      <c r="H28" s="67" t="n">
        <v>51964.64</v>
      </c>
      <c r="I28" s="70" t="n">
        <v>0.0393</v>
      </c>
    </row>
    <row r="29" customFormat="false" ht="15" hidden="false" customHeight="true" outlineLevel="0" collapsed="false">
      <c r="A29" s="52" t="n">
        <v>5</v>
      </c>
      <c r="B29" s="65" t="n">
        <v>51964.64</v>
      </c>
      <c r="C29" s="65" t="n">
        <v>1558.94</v>
      </c>
      <c r="D29" s="65" t="n">
        <v>1558.94</v>
      </c>
      <c r="E29" s="65" t="n">
        <v>1013.31</v>
      </c>
      <c r="F29" s="65" t="n">
        <v>2416.36</v>
      </c>
      <c r="G29" s="66" t="s">
        <v>79</v>
      </c>
      <c r="H29" s="67" t="n">
        <v>52822.06</v>
      </c>
      <c r="I29" s="68" t="n">
        <v>0.0564</v>
      </c>
    </row>
    <row r="30" customFormat="false" ht="15" hidden="false" customHeight="true" outlineLevel="0" collapsed="false">
      <c r="A30" s="58" t="n">
        <v>6</v>
      </c>
      <c r="B30" s="69" t="n">
        <v>52822.06</v>
      </c>
      <c r="C30" s="69" t="n">
        <v>1584.66</v>
      </c>
      <c r="D30" s="69" t="n">
        <v>1584.66</v>
      </c>
      <c r="E30" s="69" t="n">
        <v>1030.03</v>
      </c>
      <c r="F30" s="69" t="n">
        <v>2456.22</v>
      </c>
      <c r="G30" s="71" t="s">
        <v>116</v>
      </c>
      <c r="H30" s="72" t="n">
        <v>52267.43</v>
      </c>
      <c r="I30" s="70" t="n">
        <v>0.0453</v>
      </c>
    </row>
    <row r="31" customFormat="false" ht="15" hidden="false" customHeight="true" outlineLevel="0" collapsed="false">
      <c r="A31" s="52" t="n">
        <v>7</v>
      </c>
      <c r="B31" s="65" t="n">
        <v>52267.43</v>
      </c>
      <c r="C31" s="65" t="n">
        <v>1568.02</v>
      </c>
      <c r="D31" s="65" t="n">
        <v>1568.02</v>
      </c>
      <c r="E31" s="65" t="n">
        <v>1019.21</v>
      </c>
      <c r="F31" s="65" t="n">
        <v>2430.43</v>
      </c>
      <c r="G31" s="66" t="s">
        <v>79</v>
      </c>
      <c r="H31" s="67" t="n">
        <v>53129.84</v>
      </c>
      <c r="I31" s="68" t="n">
        <v>0.0626</v>
      </c>
    </row>
    <row r="32" customFormat="false" ht="15" hidden="false" customHeight="true" outlineLevel="0" collapsed="false">
      <c r="A32" s="58" t="n">
        <v>8</v>
      </c>
      <c r="B32" s="69" t="n">
        <v>53129.84</v>
      </c>
      <c r="C32" s="69" t="n">
        <v>1593.9</v>
      </c>
      <c r="D32" s="69" t="n">
        <v>1593.9</v>
      </c>
      <c r="E32" s="69" t="n">
        <v>1036.04</v>
      </c>
      <c r="F32" s="69" t="n">
        <v>2470.55</v>
      </c>
      <c r="G32" s="66" t="s">
        <v>79</v>
      </c>
      <c r="H32" s="67" t="n">
        <v>54006.48</v>
      </c>
      <c r="I32" s="70" t="n">
        <v>0.0801</v>
      </c>
    </row>
    <row r="33" customFormat="false" ht="15" hidden="false" customHeight="true" outlineLevel="0" collapsed="false">
      <c r="A33" s="52" t="n">
        <v>9</v>
      </c>
      <c r="B33" s="65" t="n">
        <v>54006.48</v>
      </c>
      <c r="C33" s="65" t="n">
        <v>1620.19</v>
      </c>
      <c r="D33" s="65" t="n">
        <v>1620.19</v>
      </c>
      <c r="E33" s="65" t="n">
        <v>1053.12</v>
      </c>
      <c r="F33" s="65" t="n">
        <v>2511.29</v>
      </c>
      <c r="G33" s="71" t="s">
        <v>116</v>
      </c>
      <c r="H33" s="72" t="n">
        <v>53439.41</v>
      </c>
      <c r="I33" s="68" t="n">
        <v>0.0688</v>
      </c>
    </row>
    <row r="34" customFormat="false" ht="15" hidden="false" customHeight="true" outlineLevel="0" collapsed="false">
      <c r="A34" s="58" t="n">
        <v>10</v>
      </c>
      <c r="B34" s="69" t="n">
        <v>53439.41</v>
      </c>
      <c r="C34" s="69" t="n">
        <v>1603.18</v>
      </c>
      <c r="D34" s="69" t="n">
        <v>1603.18</v>
      </c>
      <c r="E34" s="69" t="n">
        <v>1042.07</v>
      </c>
      <c r="F34" s="69" t="n">
        <v>2484.93</v>
      </c>
      <c r="G34" s="66" t="s">
        <v>79</v>
      </c>
      <c r="H34" s="67" t="n">
        <v>54321.16</v>
      </c>
      <c r="I34" s="70" t="n">
        <v>0.0864</v>
      </c>
    </row>
    <row r="35" customFormat="false" ht="15" hidden="false" customHeight="true" outlineLevel="0" collapsed="false">
      <c r="A35" s="52" t="n">
        <v>11</v>
      </c>
      <c r="B35" s="65" t="n">
        <v>54321.16</v>
      </c>
      <c r="C35" s="65" t="n">
        <v>1629.63</v>
      </c>
      <c r="D35" s="65" t="n">
        <v>1629.63</v>
      </c>
      <c r="E35" s="65" t="n">
        <v>1059.26</v>
      </c>
      <c r="F35" s="65" t="n">
        <v>2525.93</v>
      </c>
      <c r="G35" s="66" t="s">
        <v>79</v>
      </c>
      <c r="H35" s="67" t="n">
        <v>55217.46</v>
      </c>
      <c r="I35" s="68" t="n">
        <v>0.1043</v>
      </c>
    </row>
    <row r="36" customFormat="false" ht="15" hidden="false" customHeight="true" outlineLevel="0" collapsed="false">
      <c r="A36" s="58" t="n">
        <v>12</v>
      </c>
      <c r="B36" s="69" t="n">
        <v>55217.46</v>
      </c>
      <c r="C36" s="69" t="n">
        <v>1656.52</v>
      </c>
      <c r="D36" s="69" t="n">
        <v>1656.52</v>
      </c>
      <c r="E36" s="69" t="n">
        <v>1076.74</v>
      </c>
      <c r="F36" s="69" t="n">
        <v>2567.61</v>
      </c>
      <c r="G36" s="71" t="s">
        <v>116</v>
      </c>
      <c r="H36" s="72" t="n">
        <v>54637.68</v>
      </c>
      <c r="I36" s="70" t="n">
        <v>0.0928</v>
      </c>
    </row>
    <row r="37" customFormat="false" ht="15" hidden="false" customHeight="true" outlineLevel="0" collapsed="false">
      <c r="A37" s="52" t="n">
        <v>13</v>
      </c>
      <c r="B37" s="65" t="n">
        <v>54637.68</v>
      </c>
      <c r="C37" s="65" t="n">
        <v>1639.13</v>
      </c>
      <c r="D37" s="65" t="n">
        <v>1639.13</v>
      </c>
      <c r="E37" s="65" t="n">
        <v>1065.43</v>
      </c>
      <c r="F37" s="65" t="n">
        <v>2540.65</v>
      </c>
      <c r="G37" s="66" t="s">
        <v>79</v>
      </c>
      <c r="H37" s="67" t="n">
        <v>55539.2</v>
      </c>
      <c r="I37" s="68" t="n">
        <v>0.1108</v>
      </c>
    </row>
    <row r="38" customFormat="false" ht="15" hidden="false" customHeight="true" outlineLevel="0" collapsed="false">
      <c r="A38" s="58" t="n">
        <v>14</v>
      </c>
      <c r="B38" s="69" t="n">
        <v>55539.2</v>
      </c>
      <c r="C38" s="69" t="n">
        <v>1666.18</v>
      </c>
      <c r="D38" s="69" t="n">
        <v>1666.18</v>
      </c>
      <c r="E38" s="69" t="n">
        <v>1083.02</v>
      </c>
      <c r="F38" s="69" t="n">
        <v>2582.58</v>
      </c>
      <c r="G38" s="66" t="s">
        <v>79</v>
      </c>
      <c r="H38" s="67" t="n">
        <v>56455.6</v>
      </c>
      <c r="I38" s="70" t="n">
        <v>0.1291</v>
      </c>
    </row>
    <row r="39" customFormat="false" ht="15" hidden="false" customHeight="true" outlineLevel="0" collapsed="false">
      <c r="A39" s="52" t="n">
        <v>15</v>
      </c>
      <c r="B39" s="65" t="n">
        <v>56455.6</v>
      </c>
      <c r="C39" s="65" t="n">
        <v>1693.67</v>
      </c>
      <c r="D39" s="65" t="n">
        <v>1693.67</v>
      </c>
      <c r="E39" s="65" t="n">
        <v>1100.89</v>
      </c>
      <c r="F39" s="65" t="n">
        <v>2625.19</v>
      </c>
      <c r="G39" s="71" t="s">
        <v>116</v>
      </c>
      <c r="H39" s="72" t="n">
        <v>55862.82</v>
      </c>
      <c r="I39" s="68" t="n">
        <v>0.1173</v>
      </c>
    </row>
    <row r="40" customFormat="false" ht="15" hidden="false" customHeight="true" outlineLevel="0" collapsed="false">
      <c r="A40" s="58" t="n">
        <v>16</v>
      </c>
      <c r="B40" s="69" t="n">
        <v>55862.82</v>
      </c>
      <c r="C40" s="69" t="n">
        <v>1675.88</v>
      </c>
      <c r="D40" s="69" t="n">
        <v>1675.88</v>
      </c>
      <c r="E40" s="69" t="n">
        <v>1089.32</v>
      </c>
      <c r="F40" s="69" t="n">
        <v>2597.61</v>
      </c>
      <c r="G40" s="66" t="s">
        <v>79</v>
      </c>
      <c r="H40" s="67" t="n">
        <v>56784.55</v>
      </c>
      <c r="I40" s="70" t="n">
        <v>0.1357</v>
      </c>
    </row>
    <row r="41" customFormat="false" ht="15" hidden="false" customHeight="true" outlineLevel="0" collapsed="false">
      <c r="A41" s="52" t="n">
        <v>17</v>
      </c>
      <c r="B41" s="65" t="n">
        <v>56784.55</v>
      </c>
      <c r="C41" s="65" t="n">
        <v>1703.54</v>
      </c>
      <c r="D41" s="65" t="n">
        <v>1703.54</v>
      </c>
      <c r="E41" s="65" t="n">
        <v>1107.3</v>
      </c>
      <c r="F41" s="65" t="n">
        <v>2640.49</v>
      </c>
      <c r="G41" s="71" t="s">
        <v>116</v>
      </c>
      <c r="H41" s="72" t="n">
        <v>56188.31</v>
      </c>
      <c r="I41" s="68" t="n">
        <v>0.1238</v>
      </c>
    </row>
    <row r="42" customFormat="false" ht="15" hidden="false" customHeight="true" outlineLevel="0" collapsed="false">
      <c r="A42" s="58" t="n">
        <v>18</v>
      </c>
      <c r="B42" s="69" t="n">
        <v>56188.31</v>
      </c>
      <c r="C42" s="69" t="n">
        <v>1685.65</v>
      </c>
      <c r="D42" s="69" t="n">
        <v>1685.65</v>
      </c>
      <c r="E42" s="69" t="n">
        <v>1095.67</v>
      </c>
      <c r="F42" s="69" t="n">
        <v>2612.76</v>
      </c>
      <c r="G42" s="66" t="s">
        <v>79</v>
      </c>
      <c r="H42" s="67" t="n">
        <v>57115.42</v>
      </c>
      <c r="I42" s="70" t="n">
        <v>0.1423</v>
      </c>
    </row>
    <row r="43" customFormat="false" ht="15" hidden="false" customHeight="true" outlineLevel="0" collapsed="false">
      <c r="A43" s="52" t="n">
        <v>19</v>
      </c>
      <c r="B43" s="65" t="n">
        <v>57115.42</v>
      </c>
      <c r="C43" s="65" t="n">
        <v>1713.46</v>
      </c>
      <c r="D43" s="65" t="n">
        <v>1713.46</v>
      </c>
      <c r="E43" s="65" t="n">
        <v>1113.75</v>
      </c>
      <c r="F43" s="65" t="n">
        <v>2655.86</v>
      </c>
      <c r="G43" s="66" t="s">
        <v>79</v>
      </c>
      <c r="H43" s="67" t="n">
        <v>58057.82</v>
      </c>
      <c r="I43" s="68" t="n">
        <v>0.1612</v>
      </c>
    </row>
    <row r="44" customFormat="false" ht="15" hidden="false" customHeight="true" outlineLevel="0" collapsed="false">
      <c r="A44" s="58" t="n">
        <v>20</v>
      </c>
      <c r="B44" s="69" t="n">
        <v>58057.82</v>
      </c>
      <c r="C44" s="69" t="n">
        <v>1741.73</v>
      </c>
      <c r="D44" s="69" t="n">
        <v>1741.73</v>
      </c>
      <c r="E44" s="69" t="n">
        <v>1132.12</v>
      </c>
      <c r="F44" s="69" t="n">
        <v>2699.68</v>
      </c>
      <c r="G44" s="71" t="s">
        <v>116</v>
      </c>
      <c r="H44" s="72" t="n">
        <v>57448.21</v>
      </c>
      <c r="I44" s="70" t="n">
        <v>0.149</v>
      </c>
    </row>
    <row r="45" customFormat="false" ht="15" hidden="false" customHeight="true" outlineLevel="0" collapsed="false">
      <c r="A45" s="52" t="n">
        <v>21</v>
      </c>
      <c r="B45" s="65" t="n">
        <v>57448.21</v>
      </c>
      <c r="C45" s="65" t="n">
        <v>1723.45</v>
      </c>
      <c r="D45" s="65" t="n">
        <v>1723.45</v>
      </c>
      <c r="E45" s="65" t="n">
        <v>1120.24</v>
      </c>
      <c r="F45" s="65" t="n">
        <v>2671.35</v>
      </c>
      <c r="G45" s="66" t="s">
        <v>79</v>
      </c>
      <c r="H45" s="67" t="n">
        <v>58396.11</v>
      </c>
      <c r="I45" s="68" t="n">
        <v>0.1679</v>
      </c>
    </row>
    <row r="46" customFormat="false" ht="15" hidden="false" customHeight="true" outlineLevel="0" collapsed="false">
      <c r="A46" s="58" t="n">
        <v>22</v>
      </c>
      <c r="B46" s="69" t="n">
        <v>58396.11</v>
      </c>
      <c r="C46" s="69" t="n">
        <v>1751.88</v>
      </c>
      <c r="D46" s="69" t="n">
        <v>1751.88</v>
      </c>
      <c r="E46" s="69" t="n">
        <v>1138.72</v>
      </c>
      <c r="F46" s="69" t="n">
        <v>2715.41</v>
      </c>
      <c r="G46" s="66" t="s">
        <v>79</v>
      </c>
      <c r="H46" s="67" t="n">
        <v>59359.64</v>
      </c>
      <c r="I46" s="70" t="n">
        <v>0.1872</v>
      </c>
    </row>
    <row r="47" customFormat="false" ht="15" hidden="false" customHeight="true" outlineLevel="0" collapsed="false">
      <c r="A47" s="52" t="n">
        <v>23</v>
      </c>
      <c r="B47" s="65" t="n">
        <v>59359.64</v>
      </c>
      <c r="C47" s="65" t="n">
        <v>1780.79</v>
      </c>
      <c r="D47" s="65" t="n">
        <v>1780.79</v>
      </c>
      <c r="E47" s="65" t="n">
        <v>1157.51</v>
      </c>
      <c r="F47" s="65" t="n">
        <v>2760.22</v>
      </c>
      <c r="G47" s="71" t="s">
        <v>116</v>
      </c>
      <c r="H47" s="72" t="n">
        <v>58736.36</v>
      </c>
      <c r="I47" s="68" t="n">
        <v>0.1747</v>
      </c>
    </row>
    <row r="48" customFormat="false" ht="15" hidden="false" customHeight="true" outlineLevel="0" collapsed="false">
      <c r="A48" s="58" t="n">
        <v>24</v>
      </c>
      <c r="B48" s="69" t="n">
        <v>58736.36</v>
      </c>
      <c r="C48" s="69" t="n">
        <v>1762.09</v>
      </c>
      <c r="D48" s="69" t="n">
        <v>1762.09</v>
      </c>
      <c r="E48" s="69" t="n">
        <v>1145.36</v>
      </c>
      <c r="F48" s="69" t="n">
        <v>2731.24</v>
      </c>
      <c r="G48" s="66" t="s">
        <v>79</v>
      </c>
      <c r="H48" s="67" t="n">
        <v>59705.51</v>
      </c>
      <c r="I48" s="70" t="n">
        <v>0.1941</v>
      </c>
    </row>
    <row r="49" customFormat="false" ht="15" hidden="false" customHeight="true" outlineLevel="0" collapsed="false">
      <c r="A49" s="52" t="n">
        <v>25</v>
      </c>
      <c r="B49" s="65" t="n">
        <v>59705.51</v>
      </c>
      <c r="C49" s="65" t="n">
        <v>1791.17</v>
      </c>
      <c r="D49" s="65" t="n">
        <v>1791.17</v>
      </c>
      <c r="E49" s="65" t="n">
        <v>1164.26</v>
      </c>
      <c r="F49" s="65" t="n">
        <v>2776.31</v>
      </c>
      <c r="G49" s="66" t="s">
        <v>79</v>
      </c>
      <c r="H49" s="67" t="n">
        <v>60690.65</v>
      </c>
      <c r="I49" s="68" t="n">
        <v>0.2138</v>
      </c>
    </row>
    <row r="50" customFormat="false" ht="15" hidden="false" customHeight="true" outlineLevel="0" collapsed="false">
      <c r="A50" s="58" t="n">
        <v>26</v>
      </c>
      <c r="B50" s="69" t="n">
        <v>60690.65</v>
      </c>
      <c r="C50" s="69" t="n">
        <v>1820.72</v>
      </c>
      <c r="D50" s="69" t="n">
        <v>1820.72</v>
      </c>
      <c r="E50" s="69" t="n">
        <v>1183.47</v>
      </c>
      <c r="F50" s="69" t="n">
        <v>2822.12</v>
      </c>
      <c r="G50" s="71" t="s">
        <v>116</v>
      </c>
      <c r="H50" s="72" t="n">
        <v>60053.4</v>
      </c>
      <c r="I50" s="70" t="n">
        <v>0.2011</v>
      </c>
    </row>
    <row r="51" customFormat="false" ht="15" hidden="false" customHeight="true" outlineLevel="0" collapsed="false">
      <c r="A51" s="52" t="n">
        <v>27</v>
      </c>
      <c r="B51" s="65" t="n">
        <v>60053.4</v>
      </c>
      <c r="C51" s="65" t="n">
        <v>1801.6</v>
      </c>
      <c r="D51" s="65" t="n">
        <v>1801.6</v>
      </c>
      <c r="E51" s="65" t="n">
        <v>1171.04</v>
      </c>
      <c r="F51" s="65" t="n">
        <v>2792.48</v>
      </c>
      <c r="G51" s="66" t="s">
        <v>79</v>
      </c>
      <c r="H51" s="67" t="n">
        <v>61044.28</v>
      </c>
      <c r="I51" s="68" t="n">
        <v>0.2209</v>
      </c>
    </row>
    <row r="52" customFormat="false" ht="15" hidden="false" customHeight="true" outlineLevel="0" collapsed="false">
      <c r="A52" s="58" t="n">
        <v>28</v>
      </c>
      <c r="B52" s="69" t="n">
        <v>61044.28</v>
      </c>
      <c r="C52" s="69" t="n">
        <v>1831.33</v>
      </c>
      <c r="D52" s="69" t="n">
        <v>1831.33</v>
      </c>
      <c r="E52" s="69" t="n">
        <v>1190.36</v>
      </c>
      <c r="F52" s="69" t="n">
        <v>2838.56</v>
      </c>
      <c r="G52" s="66" t="s">
        <v>79</v>
      </c>
      <c r="H52" s="67" t="n">
        <v>62051.51</v>
      </c>
      <c r="I52" s="70" t="n">
        <v>0.241</v>
      </c>
    </row>
    <row r="53" customFormat="false" ht="15" hidden="false" customHeight="true" outlineLevel="0" collapsed="false">
      <c r="A53" s="52" t="n">
        <v>29</v>
      </c>
      <c r="B53" s="65" t="n">
        <v>62051.51</v>
      </c>
      <c r="C53" s="65" t="n">
        <v>1861.55</v>
      </c>
      <c r="D53" s="65" t="n">
        <v>1861.55</v>
      </c>
      <c r="E53" s="65" t="n">
        <v>1210.01</v>
      </c>
      <c r="F53" s="65" t="n">
        <v>2885.4</v>
      </c>
      <c r="G53" s="71" t="s">
        <v>116</v>
      </c>
      <c r="H53" s="72" t="n">
        <v>61399.97</v>
      </c>
      <c r="I53" s="68" t="n">
        <v>0.228</v>
      </c>
    </row>
    <row r="54" customFormat="false" ht="15" hidden="false" customHeight="true" outlineLevel="0" collapsed="false">
      <c r="A54" s="58" t="n">
        <v>30</v>
      </c>
      <c r="B54" s="69" t="n">
        <v>61399.97</v>
      </c>
      <c r="C54" s="69" t="n">
        <v>1842</v>
      </c>
      <c r="D54" s="69" t="n">
        <v>1842</v>
      </c>
      <c r="E54" s="69" t="n">
        <v>1197.3</v>
      </c>
      <c r="F54" s="69" t="n">
        <v>2855.1</v>
      </c>
      <c r="G54" s="66" t="s">
        <v>79</v>
      </c>
      <c r="H54" s="67" t="n">
        <v>62413.07</v>
      </c>
      <c r="I54" s="70" t="n">
        <v>0.2483</v>
      </c>
    </row>
  </sheetData>
  <mergeCells count="4">
    <mergeCell ref="A1:I1"/>
    <mergeCell ref="A3:C3"/>
    <mergeCell ref="A11:I11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5"/>
    <col collapsed="false" customWidth="true" hidden="false" outlineLevel="0" max="3" min="3" style="1" width="15"/>
    <col collapsed="false" customWidth="true" hidden="false" outlineLevel="0" max="4" min="4" style="1" width="30"/>
  </cols>
  <sheetData>
    <row r="1" customFormat="false" ht="31.5" hidden="false" customHeight="true" outlineLevel="0" collapsed="false">
      <c r="A1" s="73" t="s">
        <v>117</v>
      </c>
      <c r="B1" s="73"/>
      <c r="C1" s="73"/>
      <c r="D1" s="73"/>
    </row>
    <row r="3" customFormat="false" ht="21.75" hidden="false" customHeight="true" outlineLevel="0" collapsed="false">
      <c r="A3" s="8" t="s">
        <v>118</v>
      </c>
      <c r="B3" s="8"/>
      <c r="C3" s="8"/>
      <c r="D3" s="8"/>
    </row>
    <row r="4" customFormat="false" ht="19.5" hidden="false" customHeight="true" outlineLevel="0" collapsed="false">
      <c r="A4" s="74" t="s">
        <v>119</v>
      </c>
      <c r="B4" s="75" t="s">
        <v>120</v>
      </c>
      <c r="C4" s="76" t="s">
        <v>121</v>
      </c>
      <c r="D4" s="77" t="s">
        <v>122</v>
      </c>
    </row>
    <row r="5" customFormat="false" ht="19.5" hidden="false" customHeight="true" outlineLevel="0" collapsed="false">
      <c r="A5" s="74" t="s">
        <v>119</v>
      </c>
      <c r="B5" s="75" t="s">
        <v>123</v>
      </c>
      <c r="C5" s="76" t="s">
        <v>121</v>
      </c>
      <c r="D5" s="77" t="s">
        <v>124</v>
      </c>
    </row>
    <row r="6" customFormat="false" ht="19.5" hidden="false" customHeight="true" outlineLevel="0" collapsed="false">
      <c r="A6" s="74" t="s">
        <v>119</v>
      </c>
      <c r="B6" s="75" t="s">
        <v>125</v>
      </c>
      <c r="C6" s="76" t="s">
        <v>121</v>
      </c>
      <c r="D6" s="77" t="s">
        <v>126</v>
      </c>
    </row>
    <row r="8" customFormat="false" ht="21.75" hidden="false" customHeight="true" outlineLevel="0" collapsed="false">
      <c r="A8" s="78" t="s">
        <v>127</v>
      </c>
      <c r="B8" s="78"/>
      <c r="C8" s="78"/>
      <c r="D8" s="78"/>
    </row>
    <row r="9" customFormat="false" ht="19.5" hidden="false" customHeight="true" outlineLevel="0" collapsed="false">
      <c r="A9" s="74" t="s">
        <v>119</v>
      </c>
      <c r="B9" s="75" t="s">
        <v>128</v>
      </c>
      <c r="C9" s="76" t="s">
        <v>121</v>
      </c>
      <c r="D9" s="77" t="s">
        <v>129</v>
      </c>
    </row>
    <row r="10" customFormat="false" ht="19.5" hidden="false" customHeight="true" outlineLevel="0" collapsed="false">
      <c r="A10" s="74" t="s">
        <v>119</v>
      </c>
      <c r="B10" s="75" t="s">
        <v>130</v>
      </c>
      <c r="C10" s="76" t="s">
        <v>121</v>
      </c>
      <c r="D10" s="77" t="s">
        <v>131</v>
      </c>
    </row>
    <row r="11" customFormat="false" ht="19.5" hidden="false" customHeight="true" outlineLevel="0" collapsed="false">
      <c r="A11" s="74" t="s">
        <v>119</v>
      </c>
      <c r="B11" s="75" t="s">
        <v>132</v>
      </c>
      <c r="C11" s="76" t="s">
        <v>121</v>
      </c>
      <c r="D11" s="77" t="s">
        <v>133</v>
      </c>
    </row>
    <row r="12" customFormat="false" ht="19.5" hidden="false" customHeight="true" outlineLevel="0" collapsed="false">
      <c r="A12" s="74" t="s">
        <v>119</v>
      </c>
      <c r="B12" s="75" t="s">
        <v>134</v>
      </c>
      <c r="C12" s="76" t="s">
        <v>121</v>
      </c>
      <c r="D12" s="77" t="s">
        <v>135</v>
      </c>
    </row>
    <row r="13" customFormat="false" ht="19.5" hidden="false" customHeight="true" outlineLevel="0" collapsed="false">
      <c r="A13" s="74" t="s">
        <v>119</v>
      </c>
      <c r="B13" s="75" t="s">
        <v>136</v>
      </c>
      <c r="C13" s="76" t="s">
        <v>121</v>
      </c>
      <c r="D13" s="77" t="s">
        <v>137</v>
      </c>
    </row>
    <row r="15" customFormat="false" ht="21.75" hidden="false" customHeight="true" outlineLevel="0" collapsed="false">
      <c r="A15" s="79" t="s">
        <v>138</v>
      </c>
      <c r="B15" s="79"/>
      <c r="C15" s="79"/>
      <c r="D15" s="79"/>
    </row>
    <row r="16" customFormat="false" ht="19.5" hidden="false" customHeight="true" outlineLevel="0" collapsed="false">
      <c r="A16" s="74" t="s">
        <v>119</v>
      </c>
      <c r="B16" s="75" t="s">
        <v>139</v>
      </c>
      <c r="C16" s="76" t="s">
        <v>121</v>
      </c>
      <c r="D16" s="77"/>
    </row>
    <row r="17" customFormat="false" ht="19.5" hidden="false" customHeight="true" outlineLevel="0" collapsed="false">
      <c r="A17" s="74" t="s">
        <v>119</v>
      </c>
      <c r="B17" s="75" t="s">
        <v>140</v>
      </c>
      <c r="C17" s="76" t="s">
        <v>121</v>
      </c>
      <c r="D17" s="77"/>
    </row>
    <row r="18" customFormat="false" ht="19.5" hidden="false" customHeight="true" outlineLevel="0" collapsed="false">
      <c r="A18" s="74" t="s">
        <v>119</v>
      </c>
      <c r="B18" s="75" t="s">
        <v>141</v>
      </c>
      <c r="C18" s="76" t="s">
        <v>121</v>
      </c>
      <c r="D18" s="77" t="s">
        <v>142</v>
      </c>
    </row>
    <row r="19" customFormat="false" ht="19.5" hidden="false" customHeight="true" outlineLevel="0" collapsed="false">
      <c r="A19" s="74" t="s">
        <v>119</v>
      </c>
      <c r="B19" s="75" t="s">
        <v>143</v>
      </c>
      <c r="C19" s="76" t="s">
        <v>121</v>
      </c>
      <c r="D19" s="77" t="s">
        <v>144</v>
      </c>
    </row>
    <row r="20" customFormat="false" ht="19.5" hidden="false" customHeight="true" outlineLevel="0" collapsed="false">
      <c r="A20" s="74" t="s">
        <v>119</v>
      </c>
      <c r="B20" s="75" t="s">
        <v>145</v>
      </c>
      <c r="C20" s="76" t="s">
        <v>121</v>
      </c>
      <c r="D20" s="77" t="s">
        <v>146</v>
      </c>
    </row>
    <row r="22" customFormat="false" ht="21.75" hidden="false" customHeight="true" outlineLevel="0" collapsed="false">
      <c r="A22" s="80" t="s">
        <v>147</v>
      </c>
      <c r="B22" s="80"/>
      <c r="C22" s="80"/>
      <c r="D22" s="80"/>
    </row>
    <row r="23" customFormat="false" ht="19.5" hidden="false" customHeight="true" outlineLevel="0" collapsed="false">
      <c r="A23" s="74" t="s">
        <v>119</v>
      </c>
      <c r="B23" s="75" t="s">
        <v>148</v>
      </c>
      <c r="C23" s="76" t="s">
        <v>121</v>
      </c>
      <c r="D23" s="77"/>
    </row>
    <row r="24" customFormat="false" ht="19.5" hidden="false" customHeight="true" outlineLevel="0" collapsed="false">
      <c r="A24" s="74" t="s">
        <v>119</v>
      </c>
      <c r="B24" s="75" t="s">
        <v>149</v>
      </c>
      <c r="C24" s="76" t="s">
        <v>121</v>
      </c>
      <c r="D24" s="77" t="s">
        <v>150</v>
      </c>
    </row>
    <row r="25" customFormat="false" ht="19.5" hidden="false" customHeight="true" outlineLevel="0" collapsed="false">
      <c r="A25" s="74" t="s">
        <v>119</v>
      </c>
      <c r="B25" s="75" t="s">
        <v>151</v>
      </c>
      <c r="C25" s="76" t="s">
        <v>121</v>
      </c>
      <c r="D25" s="77" t="s">
        <v>152</v>
      </c>
    </row>
    <row r="27" customFormat="false" ht="24" hidden="false" customHeight="true" outlineLevel="0" collapsed="false">
      <c r="A27" s="62" t="s">
        <v>153</v>
      </c>
      <c r="B27" s="62"/>
      <c r="C27" s="62"/>
      <c r="D27" s="62"/>
    </row>
  </sheetData>
  <mergeCells count="6">
    <mergeCell ref="A1:D1"/>
    <mergeCell ref="A3:D3"/>
    <mergeCell ref="A8:D8"/>
    <mergeCell ref="A15:D15"/>
    <mergeCell ref="A22:D22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20"/>
  </cols>
  <sheetData>
    <row r="1" customFormat="false" ht="31.5" hidden="false" customHeight="true" outlineLevel="0" collapsed="false">
      <c r="A1" s="73" t="s">
        <v>154</v>
      </c>
      <c r="B1" s="73"/>
      <c r="C1" s="73"/>
      <c r="D1" s="73"/>
      <c r="E1" s="73"/>
      <c r="F1" s="73"/>
      <c r="G1" s="73"/>
    </row>
    <row r="3" customFormat="false" ht="15" hidden="false" customHeight="true" outlineLevel="0" collapsed="false">
      <c r="A3" s="8" t="s">
        <v>155</v>
      </c>
      <c r="B3" s="8"/>
      <c r="C3" s="8"/>
      <c r="D3" s="8"/>
      <c r="E3" s="8"/>
      <c r="F3" s="8"/>
      <c r="G3" s="8"/>
    </row>
    <row r="4" customFormat="false" ht="15" hidden="false" customHeight="true" outlineLevel="0" collapsed="false">
      <c r="A4" s="42" t="s">
        <v>156</v>
      </c>
      <c r="B4" s="81" t="s">
        <v>157</v>
      </c>
      <c r="C4" s="82" t="s">
        <v>158</v>
      </c>
    </row>
    <row r="5" customFormat="false" ht="15" hidden="false" customHeight="true" outlineLevel="0" collapsed="false">
      <c r="A5" s="83" t="s">
        <v>159</v>
      </c>
      <c r="B5" s="84" t="s">
        <v>160</v>
      </c>
      <c r="C5" s="85" t="s">
        <v>161</v>
      </c>
    </row>
    <row r="6" customFormat="false" ht="15" hidden="false" customHeight="true" outlineLevel="0" collapsed="false">
      <c r="A6" s="42" t="s">
        <v>162</v>
      </c>
      <c r="B6" s="81" t="s">
        <v>163</v>
      </c>
      <c r="C6" s="82" t="s">
        <v>164</v>
      </c>
    </row>
    <row r="7" customFormat="false" ht="15" hidden="false" customHeight="true" outlineLevel="0" collapsed="false">
      <c r="A7" s="83" t="s">
        <v>165</v>
      </c>
      <c r="B7" s="84" t="s">
        <v>166</v>
      </c>
      <c r="C7" s="85" t="s">
        <v>167</v>
      </c>
    </row>
    <row r="8" customFormat="false" ht="15" hidden="false" customHeight="true" outlineLevel="0" collapsed="false">
      <c r="A8" s="42" t="s">
        <v>168</v>
      </c>
      <c r="B8" s="86" t="s">
        <v>169</v>
      </c>
      <c r="C8" s="82" t="s">
        <v>170</v>
      </c>
    </row>
    <row r="9" customFormat="false" ht="15" hidden="false" customHeight="true" outlineLevel="0" collapsed="false">
      <c r="A9" s="83" t="s">
        <v>171</v>
      </c>
      <c r="B9" s="87" t="s">
        <v>172</v>
      </c>
      <c r="C9" s="85" t="s">
        <v>173</v>
      </c>
    </row>
    <row r="10" customFormat="false" ht="15" hidden="false" customHeight="true" outlineLevel="0" collapsed="false">
      <c r="A10" s="42" t="s">
        <v>174</v>
      </c>
      <c r="B10" s="81" t="s">
        <v>175</v>
      </c>
      <c r="C10" s="82" t="s">
        <v>176</v>
      </c>
    </row>
    <row r="11" customFormat="false" ht="15" hidden="false" customHeight="true" outlineLevel="0" collapsed="false">
      <c r="A11" s="83" t="s">
        <v>177</v>
      </c>
      <c r="B11" s="84" t="s">
        <v>178</v>
      </c>
      <c r="C11" s="85"/>
    </row>
    <row r="12" customFormat="false" ht="15" hidden="false" customHeight="true" outlineLevel="0" collapsed="false">
      <c r="A12" s="42" t="s">
        <v>179</v>
      </c>
      <c r="B12" s="81" t="s">
        <v>180</v>
      </c>
      <c r="C12" s="82" t="s">
        <v>181</v>
      </c>
    </row>
    <row r="13" customFormat="false" ht="15" hidden="false" customHeight="true" outlineLevel="0" collapsed="false">
      <c r="A13" s="83" t="s">
        <v>182</v>
      </c>
      <c r="B13" s="88" t="s">
        <v>183</v>
      </c>
      <c r="C13" s="85" t="s">
        <v>184</v>
      </c>
    </row>
    <row r="14" customFormat="false" ht="15" hidden="false" customHeight="true" outlineLevel="0" collapsed="false">
      <c r="A14" s="42" t="s">
        <v>185</v>
      </c>
      <c r="B14" s="86" t="s">
        <v>186</v>
      </c>
      <c r="C14" s="82" t="s">
        <v>187</v>
      </c>
    </row>
    <row r="15" customFormat="false" ht="15" hidden="false" customHeight="true" outlineLevel="0" collapsed="false">
      <c r="A15" s="83" t="s">
        <v>188</v>
      </c>
      <c r="B15" s="84" t="s">
        <v>189</v>
      </c>
      <c r="C15" s="85" t="s">
        <v>190</v>
      </c>
    </row>
    <row r="16" customFormat="false" ht="15" hidden="false" customHeight="true" outlineLevel="0" collapsed="false">
      <c r="A16" s="42" t="s">
        <v>191</v>
      </c>
      <c r="B16" s="81" t="s">
        <v>192</v>
      </c>
      <c r="C16" s="82" t="s">
        <v>193</v>
      </c>
    </row>
    <row r="17" customFormat="false" ht="15" hidden="false" customHeight="true" outlineLevel="0" collapsed="false">
      <c r="A17" s="83" t="s">
        <v>194</v>
      </c>
      <c r="B17" s="87" t="s">
        <v>195</v>
      </c>
      <c r="C17" s="85" t="s">
        <v>196</v>
      </c>
    </row>
    <row r="20" customFormat="false" ht="15" hidden="false" customHeight="true" outlineLevel="0" collapsed="false">
      <c r="A20" s="8" t="s">
        <v>197</v>
      </c>
      <c r="B20" s="8"/>
      <c r="C20" s="8"/>
      <c r="D20" s="8"/>
      <c r="E20" s="8"/>
      <c r="F20" s="8"/>
      <c r="G20" s="8"/>
    </row>
    <row r="21" customFormat="false" ht="15" hidden="false" customHeight="true" outlineLevel="0" collapsed="false">
      <c r="A21" s="9" t="s">
        <v>198</v>
      </c>
      <c r="B21" s="9" t="s">
        <v>92</v>
      </c>
      <c r="C21" s="9" t="s">
        <v>199</v>
      </c>
      <c r="D21" s="9" t="s">
        <v>200</v>
      </c>
      <c r="E21" s="9" t="s">
        <v>201</v>
      </c>
      <c r="F21" s="9" t="s">
        <v>72</v>
      </c>
      <c r="G21" s="9" t="s">
        <v>75</v>
      </c>
    </row>
    <row r="22" customFormat="false" ht="23.25" hidden="false" customHeight="true" outlineLevel="0" collapsed="false">
      <c r="A22" s="89" t="s">
        <v>202</v>
      </c>
      <c r="B22" s="59" t="n">
        <v>40</v>
      </c>
      <c r="C22" s="59" t="n">
        <v>27</v>
      </c>
      <c r="D22" s="59" t="n">
        <v>13</v>
      </c>
      <c r="E22" s="90" t="n">
        <v>0.675</v>
      </c>
      <c r="F22" s="91" t="n">
        <v>12400</v>
      </c>
      <c r="G22" s="59" t="s">
        <v>203</v>
      </c>
    </row>
    <row r="23" customFormat="false" ht="15" hidden="false" customHeight="true" outlineLevel="0" collapsed="false">
      <c r="A23" s="75" t="s">
        <v>204</v>
      </c>
      <c r="B23" s="53" t="n">
        <v>40</v>
      </c>
      <c r="C23" s="53" t="n">
        <v>25</v>
      </c>
      <c r="D23" s="53" t="n">
        <v>15</v>
      </c>
      <c r="E23" s="92" t="n">
        <v>0.625</v>
      </c>
      <c r="F23" s="91" t="n">
        <v>7200</v>
      </c>
      <c r="G23" s="53" t="s">
        <v>205</v>
      </c>
    </row>
    <row r="24" customFormat="false" ht="23.25" hidden="false" customHeight="true" outlineLevel="0" collapsed="false">
      <c r="A24" s="89" t="s">
        <v>206</v>
      </c>
      <c r="B24" s="59" t="n">
        <v>40</v>
      </c>
      <c r="C24" s="59" t="n">
        <v>28</v>
      </c>
      <c r="D24" s="59" t="n">
        <v>12</v>
      </c>
      <c r="E24" s="90" t="n">
        <v>0.7</v>
      </c>
      <c r="F24" s="91" t="n">
        <v>14100</v>
      </c>
      <c r="G24" s="59" t="s">
        <v>207</v>
      </c>
    </row>
    <row r="25" customFormat="false" ht="15" hidden="false" customHeight="true" outlineLevel="0" collapsed="false">
      <c r="A25" s="75" t="s">
        <v>208</v>
      </c>
      <c r="B25" s="53" t="n">
        <v>40</v>
      </c>
      <c r="C25" s="53" t="n">
        <v>24</v>
      </c>
      <c r="D25" s="53" t="n">
        <v>16</v>
      </c>
      <c r="E25" s="92" t="n">
        <v>0.6</v>
      </c>
      <c r="F25" s="91" t="n">
        <v>5800</v>
      </c>
      <c r="G25" s="53" t="s">
        <v>209</v>
      </c>
    </row>
    <row r="26" customFormat="false" ht="15" hidden="false" customHeight="true" outlineLevel="0" collapsed="false">
      <c r="A26" s="89" t="s">
        <v>210</v>
      </c>
      <c r="B26" s="59" t="n">
        <v>40</v>
      </c>
      <c r="C26" s="59" t="n">
        <v>26</v>
      </c>
      <c r="D26" s="59" t="n">
        <v>14</v>
      </c>
      <c r="E26" s="90" t="n">
        <v>0.65</v>
      </c>
      <c r="F26" s="91" t="n">
        <v>9500</v>
      </c>
      <c r="G26" s="59" t="s">
        <v>211</v>
      </c>
    </row>
    <row r="27" customFormat="false" ht="15" hidden="false" customHeight="true" outlineLevel="0" collapsed="false">
      <c r="A27" s="75" t="s">
        <v>212</v>
      </c>
      <c r="B27" s="53" t="n">
        <v>40</v>
      </c>
      <c r="C27" s="53" t="n">
        <v>22</v>
      </c>
      <c r="D27" s="53" t="n">
        <v>18</v>
      </c>
      <c r="E27" s="92" t="n">
        <v>0.55</v>
      </c>
      <c r="F27" s="93" t="n">
        <v>2100</v>
      </c>
      <c r="G27" s="53" t="s">
        <v>213</v>
      </c>
    </row>
    <row r="28" customFormat="false" ht="15" hidden="false" customHeight="true" outlineLevel="0" collapsed="false">
      <c r="A28" s="89" t="s">
        <v>214</v>
      </c>
      <c r="B28" s="59" t="n">
        <v>40</v>
      </c>
      <c r="C28" s="59" t="n">
        <v>27</v>
      </c>
      <c r="D28" s="59" t="n">
        <v>13</v>
      </c>
      <c r="E28" s="90" t="n">
        <v>0.675</v>
      </c>
      <c r="F28" s="91" t="n">
        <v>11200</v>
      </c>
      <c r="G28" s="59" t="s">
        <v>215</v>
      </c>
    </row>
    <row r="29" customFormat="false" ht="15" hidden="false" customHeight="true" outlineLevel="0" collapsed="false">
      <c r="A29" s="75" t="s">
        <v>216</v>
      </c>
      <c r="B29" s="53" t="n">
        <v>40</v>
      </c>
      <c r="C29" s="53" t="n">
        <v>25</v>
      </c>
      <c r="D29" s="53" t="n">
        <v>15</v>
      </c>
      <c r="E29" s="92" t="n">
        <v>0.625</v>
      </c>
      <c r="F29" s="91" t="n">
        <v>7800</v>
      </c>
      <c r="G29" s="53" t="s">
        <v>217</v>
      </c>
    </row>
    <row r="30" customFormat="false" ht="23.25" hidden="false" customHeight="true" outlineLevel="0" collapsed="false">
      <c r="A30" s="89" t="s">
        <v>218</v>
      </c>
      <c r="B30" s="59" t="n">
        <v>40</v>
      </c>
      <c r="C30" s="59" t="n">
        <v>24</v>
      </c>
      <c r="D30" s="59" t="n">
        <v>16</v>
      </c>
      <c r="E30" s="90" t="n">
        <v>0.6</v>
      </c>
      <c r="F30" s="91" t="n">
        <v>5200</v>
      </c>
      <c r="G30" s="59" t="s">
        <v>219</v>
      </c>
    </row>
    <row r="31" customFormat="false" ht="15" hidden="false" customHeight="true" outlineLevel="0" collapsed="false">
      <c r="A31" s="75" t="s">
        <v>220</v>
      </c>
      <c r="B31" s="53" t="n">
        <v>40</v>
      </c>
      <c r="C31" s="53" t="n">
        <v>26</v>
      </c>
      <c r="D31" s="53" t="n">
        <v>14</v>
      </c>
      <c r="E31" s="92" t="n">
        <v>0.65</v>
      </c>
      <c r="F31" s="91" t="n">
        <v>9800</v>
      </c>
      <c r="G31" s="53" t="s">
        <v>221</v>
      </c>
    </row>
    <row r="32" customFormat="false" ht="15" hidden="false" customHeight="true" outlineLevel="0" collapsed="false">
      <c r="A32" s="89" t="s">
        <v>222</v>
      </c>
      <c r="B32" s="59" t="n">
        <v>40</v>
      </c>
      <c r="C32" s="59" t="n">
        <v>21</v>
      </c>
      <c r="D32" s="59" t="n">
        <v>19</v>
      </c>
      <c r="E32" s="90" t="n">
        <v>0.525</v>
      </c>
      <c r="F32" s="94" t="n">
        <v>-1400</v>
      </c>
      <c r="G32" s="59" t="s">
        <v>223</v>
      </c>
    </row>
    <row r="33" customFormat="false" ht="23.25" hidden="false" customHeight="true" outlineLevel="0" collapsed="false">
      <c r="A33" s="75" t="s">
        <v>224</v>
      </c>
      <c r="B33" s="53" t="n">
        <v>40</v>
      </c>
      <c r="C33" s="53" t="n">
        <v>27</v>
      </c>
      <c r="D33" s="53" t="n">
        <v>13</v>
      </c>
      <c r="E33" s="92" t="n">
        <v>0.675</v>
      </c>
      <c r="F33" s="91" t="n">
        <v>10300</v>
      </c>
      <c r="G33" s="53" t="s">
        <v>225</v>
      </c>
    </row>
    <row r="35" customFormat="false" ht="15" hidden="false" customHeight="true" outlineLevel="0" collapsed="false">
      <c r="A35" s="95" t="s">
        <v>226</v>
      </c>
      <c r="B35" s="96" t="s">
        <v>227</v>
      </c>
      <c r="C35" s="96"/>
      <c r="D35" s="96"/>
      <c r="E35" s="96"/>
      <c r="F35" s="96"/>
      <c r="G35" s="96"/>
    </row>
    <row r="36" customFormat="false" ht="15" hidden="false" customHeight="true" outlineLevel="0" collapsed="false">
      <c r="A36" s="97" t="s">
        <v>228</v>
      </c>
      <c r="B36" s="98" t="s">
        <v>229</v>
      </c>
      <c r="C36" s="98"/>
      <c r="D36" s="98"/>
      <c r="E36" s="98"/>
      <c r="F36" s="98"/>
      <c r="G36" s="98"/>
    </row>
    <row r="38" customFormat="false" ht="15" hidden="false" customHeight="true" outlineLevel="0" collapsed="false">
      <c r="A38" s="8" t="s">
        <v>230</v>
      </c>
      <c r="B38" s="8"/>
      <c r="C38" s="8"/>
      <c r="D38" s="8"/>
      <c r="E38" s="8"/>
      <c r="F38" s="8"/>
      <c r="G38" s="8"/>
    </row>
    <row r="39" customFormat="false" ht="15" hidden="false" customHeight="true" outlineLevel="0" collapsed="false">
      <c r="A39" s="9" t="s">
        <v>231</v>
      </c>
      <c r="B39" s="9" t="s">
        <v>232</v>
      </c>
      <c r="C39" s="9" t="s">
        <v>233</v>
      </c>
      <c r="D39" s="9"/>
      <c r="E39" s="9"/>
      <c r="F39" s="9"/>
      <c r="G39" s="9"/>
    </row>
    <row r="40" customFormat="false" ht="15" hidden="false" customHeight="true" outlineLevel="0" collapsed="false">
      <c r="A40" s="42" t="s">
        <v>234</v>
      </c>
      <c r="B40" s="99" t="s">
        <v>235</v>
      </c>
      <c r="C40" s="100" t="s">
        <v>236</v>
      </c>
      <c r="D40" s="100"/>
      <c r="E40" s="100"/>
      <c r="F40" s="100"/>
      <c r="G40" s="100"/>
    </row>
    <row r="41" customFormat="false" ht="15" hidden="false" customHeight="true" outlineLevel="0" collapsed="false">
      <c r="A41" s="83" t="s">
        <v>237</v>
      </c>
      <c r="B41" s="101" t="s">
        <v>238</v>
      </c>
      <c r="C41" s="102" t="s">
        <v>239</v>
      </c>
      <c r="D41" s="102"/>
      <c r="E41" s="102"/>
      <c r="F41" s="102"/>
      <c r="G41" s="102"/>
    </row>
    <row r="42" customFormat="false" ht="15" hidden="false" customHeight="true" outlineLevel="0" collapsed="false">
      <c r="A42" s="42" t="s">
        <v>240</v>
      </c>
      <c r="B42" s="99" t="s">
        <v>241</v>
      </c>
      <c r="C42" s="100" t="s">
        <v>242</v>
      </c>
      <c r="D42" s="100"/>
      <c r="E42" s="100"/>
      <c r="F42" s="100"/>
      <c r="G42" s="100"/>
    </row>
    <row r="43" customFormat="false" ht="23.25" hidden="false" customHeight="true" outlineLevel="0" collapsed="false">
      <c r="A43" s="83" t="s">
        <v>243</v>
      </c>
      <c r="B43" s="101" t="s">
        <v>244</v>
      </c>
      <c r="C43" s="102" t="s">
        <v>245</v>
      </c>
      <c r="D43" s="102"/>
      <c r="E43" s="102"/>
      <c r="F43" s="102"/>
      <c r="G43" s="102"/>
    </row>
    <row r="44" customFormat="false" ht="15" hidden="false" customHeight="true" outlineLevel="0" collapsed="false">
      <c r="A44" s="42" t="s">
        <v>246</v>
      </c>
      <c r="B44" s="99" t="s">
        <v>247</v>
      </c>
      <c r="C44" s="100" t="s">
        <v>248</v>
      </c>
      <c r="D44" s="100"/>
      <c r="E44" s="100"/>
      <c r="F44" s="100"/>
      <c r="G44" s="100"/>
    </row>
    <row r="45" customFormat="false" ht="15" hidden="false" customHeight="true" outlineLevel="0" collapsed="false">
      <c r="A45" s="83" t="s">
        <v>249</v>
      </c>
      <c r="B45" s="101" t="s">
        <v>250</v>
      </c>
      <c r="C45" s="102" t="s">
        <v>251</v>
      </c>
      <c r="D45" s="102"/>
      <c r="E45" s="102"/>
      <c r="F45" s="102"/>
      <c r="G45" s="102"/>
    </row>
  </sheetData>
  <mergeCells count="13">
    <mergeCell ref="A1:G1"/>
    <mergeCell ref="A3:G3"/>
    <mergeCell ref="A20:G20"/>
    <mergeCell ref="B35:G35"/>
    <mergeCell ref="B36:G36"/>
    <mergeCell ref="A38:G38"/>
    <mergeCell ref="C39:G39"/>
    <mergeCell ref="C40:G40"/>
    <mergeCell ref="C41:G41"/>
    <mergeCell ref="C42:G42"/>
    <mergeCell ref="C43:G43"/>
    <mergeCell ref="C44:G44"/>
    <mergeCell ref="C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73" t="s">
        <v>252</v>
      </c>
      <c r="B1" s="73"/>
      <c r="C1" s="73"/>
      <c r="D1" s="73"/>
      <c r="E1" s="73"/>
      <c r="F1" s="73"/>
    </row>
    <row r="3" customFormat="false" ht="15" hidden="false" customHeight="true" outlineLevel="0" collapsed="false">
      <c r="A3" s="8" t="s">
        <v>253</v>
      </c>
      <c r="B3" s="8"/>
      <c r="C3" s="8"/>
      <c r="D3" s="8"/>
      <c r="E3" s="8"/>
      <c r="F3" s="8"/>
    </row>
    <row r="4" customFormat="false" ht="15" hidden="false" customHeight="true" outlineLevel="0" collapsed="false">
      <c r="A4" s="103" t="s">
        <v>254</v>
      </c>
      <c r="B4" s="104"/>
      <c r="C4" s="104"/>
      <c r="D4" s="103" t="s">
        <v>255</v>
      </c>
      <c r="E4" s="104"/>
      <c r="F4" s="104"/>
    </row>
    <row r="5" customFormat="false" ht="15" hidden="false" customHeight="true" outlineLevel="0" collapsed="false">
      <c r="A5" s="103" t="s">
        <v>256</v>
      </c>
      <c r="B5" s="104"/>
      <c r="C5" s="104"/>
      <c r="D5" s="103" t="s">
        <v>257</v>
      </c>
      <c r="E5" s="104"/>
      <c r="F5" s="104"/>
    </row>
    <row r="6" customFormat="false" ht="15" hidden="false" customHeight="true" outlineLevel="0" collapsed="false">
      <c r="A6" s="103" t="s">
        <v>258</v>
      </c>
      <c r="B6" s="104"/>
      <c r="C6" s="104"/>
      <c r="D6" s="103" t="s">
        <v>259</v>
      </c>
      <c r="E6" s="104"/>
      <c r="F6" s="104"/>
    </row>
    <row r="7" customFormat="false" ht="15" hidden="false" customHeight="true" outlineLevel="0" collapsed="false">
      <c r="A7" s="105" t="s">
        <v>260</v>
      </c>
      <c r="B7" s="106"/>
      <c r="C7" s="106"/>
      <c r="D7" s="106"/>
      <c r="E7" s="106"/>
      <c r="F7" s="106"/>
    </row>
    <row r="8" customFormat="false" ht="18" hidden="false" customHeight="true" outlineLevel="0" collapsed="false">
      <c r="A8" s="104"/>
      <c r="B8" s="104"/>
      <c r="C8" s="104"/>
      <c r="D8" s="104"/>
      <c r="E8" s="104"/>
      <c r="F8" s="104"/>
    </row>
    <row r="9" customFormat="false" ht="18" hidden="false" customHeight="true" outlineLevel="0" collapsed="false">
      <c r="A9" s="104"/>
      <c r="B9" s="104"/>
      <c r="C9" s="104"/>
      <c r="D9" s="104"/>
      <c r="E9" s="104"/>
      <c r="F9" s="104"/>
    </row>
    <row r="10" customFormat="false" ht="15" hidden="false" customHeight="true" outlineLevel="0" collapsed="false">
      <c r="A10" s="103" t="s">
        <v>261</v>
      </c>
      <c r="B10" s="106"/>
      <c r="C10" s="106"/>
      <c r="D10" s="106"/>
      <c r="E10" s="106"/>
      <c r="F10" s="106"/>
    </row>
    <row r="11" customFormat="false" ht="18" hidden="false" customHeight="true" outlineLevel="0" collapsed="false">
      <c r="A11" s="104"/>
      <c r="B11" s="104"/>
      <c r="C11" s="104"/>
      <c r="D11" s="104"/>
      <c r="E11" s="104"/>
      <c r="F11" s="104"/>
    </row>
    <row r="12" customFormat="false" ht="18" hidden="false" customHeight="true" outlineLevel="0" collapsed="false">
      <c r="A12" s="104"/>
      <c r="B12" s="104"/>
      <c r="C12" s="104"/>
      <c r="D12" s="104"/>
      <c r="E12" s="104"/>
      <c r="F12" s="104"/>
    </row>
    <row r="13" customFormat="false" ht="15" hidden="false" customHeight="true" outlineLevel="0" collapsed="false">
      <c r="A13" s="103" t="s">
        <v>262</v>
      </c>
      <c r="B13" s="106"/>
      <c r="C13" s="106"/>
      <c r="D13" s="106"/>
      <c r="E13" s="106"/>
      <c r="F13" s="106"/>
    </row>
    <row r="14" customFormat="false" ht="18" hidden="false" customHeight="true" outlineLevel="0" collapsed="false">
      <c r="A14" s="104"/>
      <c r="B14" s="104"/>
      <c r="C14" s="104"/>
      <c r="D14" s="104"/>
      <c r="E14" s="104"/>
      <c r="F14" s="104"/>
    </row>
    <row r="15" customFormat="false" ht="18" hidden="false" customHeight="true" outlineLevel="0" collapsed="false">
      <c r="A15" s="104"/>
      <c r="B15" s="104"/>
      <c r="C15" s="104"/>
      <c r="D15" s="104"/>
      <c r="E15" s="104"/>
      <c r="F15" s="104"/>
    </row>
    <row r="16" customFormat="false" ht="15" hidden="false" customHeight="true" outlineLevel="0" collapsed="false">
      <c r="A16" s="103" t="s">
        <v>263</v>
      </c>
      <c r="B16" s="106"/>
      <c r="C16" s="106"/>
      <c r="D16" s="106"/>
      <c r="E16" s="106"/>
      <c r="F16" s="106"/>
    </row>
    <row r="17" customFormat="false" ht="18" hidden="false" customHeight="true" outlineLevel="0" collapsed="false">
      <c r="A17" s="104"/>
      <c r="B17" s="104"/>
      <c r="C17" s="104"/>
      <c r="D17" s="104"/>
      <c r="E17" s="104"/>
      <c r="F17" s="104"/>
    </row>
    <row r="18" customFormat="false" ht="18" hidden="false" customHeight="true" outlineLevel="0" collapsed="false">
      <c r="A18" s="104"/>
      <c r="B18" s="104"/>
      <c r="C18" s="104"/>
      <c r="D18" s="104"/>
      <c r="E18" s="104"/>
      <c r="F18" s="104"/>
    </row>
    <row r="19" customFormat="false" ht="15" hidden="false" customHeight="true" outlineLevel="0" collapsed="false">
      <c r="A19" s="8" t="s">
        <v>264</v>
      </c>
      <c r="B19" s="8"/>
      <c r="C19" s="8"/>
      <c r="D19" s="8"/>
      <c r="E19" s="8"/>
      <c r="F19" s="8"/>
    </row>
    <row r="20" customFormat="false" ht="15" hidden="false" customHeight="true" outlineLevel="0" collapsed="false">
      <c r="A20" s="103" t="s">
        <v>254</v>
      </c>
      <c r="B20" s="104"/>
      <c r="C20" s="104"/>
      <c r="D20" s="103" t="s">
        <v>255</v>
      </c>
      <c r="E20" s="104"/>
      <c r="F20" s="104"/>
    </row>
    <row r="21" customFormat="false" ht="15" hidden="false" customHeight="true" outlineLevel="0" collapsed="false">
      <c r="A21" s="103" t="s">
        <v>256</v>
      </c>
      <c r="B21" s="104"/>
      <c r="C21" s="104"/>
      <c r="D21" s="103" t="s">
        <v>257</v>
      </c>
      <c r="E21" s="104"/>
      <c r="F21" s="104"/>
    </row>
    <row r="22" customFormat="false" ht="15" hidden="false" customHeight="true" outlineLevel="0" collapsed="false">
      <c r="A22" s="103" t="s">
        <v>258</v>
      </c>
      <c r="B22" s="104"/>
      <c r="C22" s="104"/>
      <c r="D22" s="103" t="s">
        <v>259</v>
      </c>
      <c r="E22" s="104"/>
      <c r="F22" s="104"/>
    </row>
    <row r="23" customFormat="false" ht="15" hidden="false" customHeight="true" outlineLevel="0" collapsed="false">
      <c r="A23" s="105" t="s">
        <v>260</v>
      </c>
      <c r="B23" s="106"/>
      <c r="C23" s="106"/>
      <c r="D23" s="106"/>
      <c r="E23" s="106"/>
      <c r="F23" s="106"/>
    </row>
    <row r="24" customFormat="false" ht="18" hidden="false" customHeight="true" outlineLevel="0" collapsed="false">
      <c r="A24" s="104"/>
      <c r="B24" s="104"/>
      <c r="C24" s="104"/>
      <c r="D24" s="104"/>
      <c r="E24" s="104"/>
      <c r="F24" s="104"/>
    </row>
    <row r="25" customFormat="false" ht="18" hidden="false" customHeight="true" outlineLevel="0" collapsed="false">
      <c r="A25" s="104"/>
      <c r="B25" s="104"/>
      <c r="C25" s="104"/>
      <c r="D25" s="104"/>
      <c r="E25" s="104"/>
      <c r="F25" s="104"/>
    </row>
    <row r="26" customFormat="false" ht="15" hidden="false" customHeight="true" outlineLevel="0" collapsed="false">
      <c r="A26" s="103" t="s">
        <v>261</v>
      </c>
      <c r="B26" s="106"/>
      <c r="C26" s="106"/>
      <c r="D26" s="106"/>
      <c r="E26" s="106"/>
      <c r="F26" s="106"/>
    </row>
    <row r="27" customFormat="false" ht="18" hidden="false" customHeight="true" outlineLevel="0" collapsed="false">
      <c r="A27" s="104"/>
      <c r="B27" s="104"/>
      <c r="C27" s="104"/>
      <c r="D27" s="104"/>
      <c r="E27" s="104"/>
      <c r="F27" s="104"/>
    </row>
    <row r="28" customFormat="false" ht="18" hidden="false" customHeight="true" outlineLevel="0" collapsed="false">
      <c r="A28" s="104"/>
      <c r="B28" s="104"/>
      <c r="C28" s="104"/>
      <c r="D28" s="104"/>
      <c r="E28" s="104"/>
      <c r="F28" s="104"/>
    </row>
    <row r="29" customFormat="false" ht="15" hidden="false" customHeight="true" outlineLevel="0" collapsed="false">
      <c r="A29" s="103" t="s">
        <v>262</v>
      </c>
      <c r="B29" s="106"/>
      <c r="C29" s="106"/>
      <c r="D29" s="106"/>
      <c r="E29" s="106"/>
      <c r="F29" s="106"/>
    </row>
    <row r="30" customFormat="false" ht="18" hidden="false" customHeight="true" outlineLevel="0" collapsed="false">
      <c r="A30" s="104"/>
      <c r="B30" s="104"/>
      <c r="C30" s="104"/>
      <c r="D30" s="104"/>
      <c r="E30" s="104"/>
      <c r="F30" s="104"/>
    </row>
    <row r="31" customFormat="false" ht="18" hidden="false" customHeight="true" outlineLevel="0" collapsed="false">
      <c r="A31" s="104"/>
      <c r="B31" s="104"/>
      <c r="C31" s="104"/>
      <c r="D31" s="104"/>
      <c r="E31" s="104"/>
      <c r="F31" s="104"/>
    </row>
    <row r="32" customFormat="false" ht="15" hidden="false" customHeight="true" outlineLevel="0" collapsed="false">
      <c r="A32" s="103" t="s">
        <v>263</v>
      </c>
      <c r="B32" s="106"/>
      <c r="C32" s="106"/>
      <c r="D32" s="106"/>
      <c r="E32" s="106"/>
      <c r="F32" s="106"/>
    </row>
    <row r="33" customFormat="false" ht="18" hidden="false" customHeight="true" outlineLevel="0" collapsed="false">
      <c r="A33" s="104"/>
      <c r="B33" s="104"/>
      <c r="C33" s="104"/>
      <c r="D33" s="104"/>
      <c r="E33" s="104"/>
      <c r="F33" s="104"/>
    </row>
    <row r="34" customFormat="false" ht="18" hidden="false" customHeight="true" outlineLevel="0" collapsed="false">
      <c r="A34" s="104"/>
      <c r="B34" s="104"/>
      <c r="C34" s="104"/>
      <c r="D34" s="104"/>
      <c r="E34" s="104"/>
      <c r="F34" s="104"/>
    </row>
    <row r="35" customFormat="false" ht="15" hidden="false" customHeight="true" outlineLevel="0" collapsed="false">
      <c r="A35" s="8" t="s">
        <v>265</v>
      </c>
      <c r="B35" s="8"/>
      <c r="C35" s="8"/>
      <c r="D35" s="8"/>
      <c r="E35" s="8"/>
      <c r="F35" s="8"/>
    </row>
    <row r="36" customFormat="false" ht="15" hidden="false" customHeight="true" outlineLevel="0" collapsed="false">
      <c r="A36" s="103" t="s">
        <v>254</v>
      </c>
      <c r="B36" s="104"/>
      <c r="C36" s="104"/>
      <c r="D36" s="103" t="s">
        <v>255</v>
      </c>
      <c r="E36" s="104"/>
      <c r="F36" s="104"/>
    </row>
    <row r="37" customFormat="false" ht="15" hidden="false" customHeight="true" outlineLevel="0" collapsed="false">
      <c r="A37" s="103" t="s">
        <v>256</v>
      </c>
      <c r="B37" s="104"/>
      <c r="C37" s="104"/>
      <c r="D37" s="103" t="s">
        <v>257</v>
      </c>
      <c r="E37" s="104"/>
      <c r="F37" s="104"/>
    </row>
    <row r="38" customFormat="false" ht="15" hidden="false" customHeight="true" outlineLevel="0" collapsed="false">
      <c r="A38" s="103" t="s">
        <v>258</v>
      </c>
      <c r="B38" s="104"/>
      <c r="C38" s="104"/>
      <c r="D38" s="103" t="s">
        <v>259</v>
      </c>
      <c r="E38" s="104"/>
      <c r="F38" s="104"/>
    </row>
    <row r="39" customFormat="false" ht="15" hidden="false" customHeight="true" outlineLevel="0" collapsed="false">
      <c r="A39" s="105" t="s">
        <v>260</v>
      </c>
      <c r="B39" s="106"/>
      <c r="C39" s="106"/>
      <c r="D39" s="106"/>
      <c r="E39" s="106"/>
      <c r="F39" s="106"/>
    </row>
    <row r="40" customFormat="false" ht="18" hidden="false" customHeight="true" outlineLevel="0" collapsed="false">
      <c r="A40" s="104"/>
      <c r="B40" s="104"/>
      <c r="C40" s="104"/>
      <c r="D40" s="104"/>
      <c r="E40" s="104"/>
      <c r="F40" s="104"/>
    </row>
    <row r="41" customFormat="false" ht="18" hidden="false" customHeight="true" outlineLevel="0" collapsed="false">
      <c r="A41" s="104"/>
      <c r="B41" s="104"/>
      <c r="C41" s="104"/>
      <c r="D41" s="104"/>
      <c r="E41" s="104"/>
      <c r="F41" s="104"/>
    </row>
    <row r="42" customFormat="false" ht="15" hidden="false" customHeight="true" outlineLevel="0" collapsed="false">
      <c r="A42" s="103" t="s">
        <v>261</v>
      </c>
      <c r="B42" s="106"/>
      <c r="C42" s="106"/>
      <c r="D42" s="106"/>
      <c r="E42" s="106"/>
      <c r="F42" s="106"/>
    </row>
    <row r="43" customFormat="false" ht="18" hidden="false" customHeight="true" outlineLevel="0" collapsed="false">
      <c r="A43" s="104"/>
      <c r="B43" s="104"/>
      <c r="C43" s="104"/>
      <c r="D43" s="104"/>
      <c r="E43" s="104"/>
      <c r="F43" s="104"/>
    </row>
    <row r="44" customFormat="false" ht="18" hidden="false" customHeight="true" outlineLevel="0" collapsed="false">
      <c r="A44" s="104"/>
      <c r="B44" s="104"/>
      <c r="C44" s="104"/>
      <c r="D44" s="104"/>
      <c r="E44" s="104"/>
      <c r="F44" s="104"/>
    </row>
    <row r="45" customFormat="false" ht="15" hidden="false" customHeight="true" outlineLevel="0" collapsed="false">
      <c r="A45" s="103" t="s">
        <v>262</v>
      </c>
      <c r="B45" s="106"/>
      <c r="C45" s="106"/>
      <c r="D45" s="106"/>
      <c r="E45" s="106"/>
      <c r="F45" s="106"/>
    </row>
    <row r="46" customFormat="false" ht="18" hidden="false" customHeight="true" outlineLevel="0" collapsed="false">
      <c r="A46" s="104"/>
      <c r="B46" s="104"/>
      <c r="C46" s="104"/>
      <c r="D46" s="104"/>
      <c r="E46" s="104"/>
      <c r="F46" s="104"/>
    </row>
    <row r="47" customFormat="false" ht="18" hidden="false" customHeight="true" outlineLevel="0" collapsed="false">
      <c r="A47" s="104"/>
      <c r="B47" s="104"/>
      <c r="C47" s="104"/>
      <c r="D47" s="104"/>
      <c r="E47" s="104"/>
      <c r="F47" s="104"/>
    </row>
    <row r="48" customFormat="false" ht="15" hidden="false" customHeight="true" outlineLevel="0" collapsed="false">
      <c r="A48" s="103" t="s">
        <v>263</v>
      </c>
      <c r="B48" s="106"/>
      <c r="C48" s="106"/>
      <c r="D48" s="106"/>
      <c r="E48" s="106"/>
      <c r="F48" s="106"/>
    </row>
    <row r="49" customFormat="false" ht="18" hidden="false" customHeight="true" outlineLevel="0" collapsed="false">
      <c r="A49" s="104"/>
      <c r="B49" s="104"/>
      <c r="C49" s="104"/>
      <c r="D49" s="104"/>
      <c r="E49" s="104"/>
      <c r="F49" s="104"/>
    </row>
    <row r="50" customFormat="false" ht="18" hidden="false" customHeight="true" outlineLevel="0" collapsed="false">
      <c r="A50" s="104"/>
      <c r="B50" s="104"/>
      <c r="C50" s="104"/>
      <c r="D50" s="104"/>
      <c r="E50" s="104"/>
      <c r="F50" s="104"/>
    </row>
    <row r="51" customFormat="false" ht="15" hidden="false" customHeight="true" outlineLevel="0" collapsed="false">
      <c r="A51" s="8" t="s">
        <v>266</v>
      </c>
      <c r="B51" s="8"/>
      <c r="C51" s="8"/>
      <c r="D51" s="8"/>
      <c r="E51" s="8"/>
      <c r="F51" s="8"/>
    </row>
    <row r="52" customFormat="false" ht="15" hidden="false" customHeight="true" outlineLevel="0" collapsed="false">
      <c r="A52" s="103" t="s">
        <v>254</v>
      </c>
      <c r="B52" s="104"/>
      <c r="C52" s="104"/>
      <c r="D52" s="103" t="s">
        <v>255</v>
      </c>
      <c r="E52" s="104"/>
      <c r="F52" s="104"/>
    </row>
    <row r="53" customFormat="false" ht="15" hidden="false" customHeight="true" outlineLevel="0" collapsed="false">
      <c r="A53" s="103" t="s">
        <v>256</v>
      </c>
      <c r="B53" s="104"/>
      <c r="C53" s="104"/>
      <c r="D53" s="103" t="s">
        <v>257</v>
      </c>
      <c r="E53" s="104"/>
      <c r="F53" s="104"/>
    </row>
    <row r="54" customFormat="false" ht="15" hidden="false" customHeight="true" outlineLevel="0" collapsed="false">
      <c r="A54" s="103" t="s">
        <v>258</v>
      </c>
      <c r="B54" s="104"/>
      <c r="C54" s="104"/>
      <c r="D54" s="103" t="s">
        <v>259</v>
      </c>
      <c r="E54" s="104"/>
      <c r="F54" s="104"/>
    </row>
    <row r="55" customFormat="false" ht="15" hidden="false" customHeight="true" outlineLevel="0" collapsed="false">
      <c r="A55" s="105" t="s">
        <v>260</v>
      </c>
      <c r="B55" s="106"/>
      <c r="C55" s="106"/>
      <c r="D55" s="106"/>
      <c r="E55" s="106"/>
      <c r="F55" s="106"/>
    </row>
    <row r="56" customFormat="false" ht="18" hidden="false" customHeight="true" outlineLevel="0" collapsed="false">
      <c r="A56" s="104"/>
      <c r="B56" s="104"/>
      <c r="C56" s="104"/>
      <c r="D56" s="104"/>
      <c r="E56" s="104"/>
      <c r="F56" s="104"/>
    </row>
    <row r="57" customFormat="false" ht="18" hidden="false" customHeight="true" outlineLevel="0" collapsed="false">
      <c r="A57" s="104"/>
      <c r="B57" s="104"/>
      <c r="C57" s="104"/>
      <c r="D57" s="104"/>
      <c r="E57" s="104"/>
      <c r="F57" s="104"/>
    </row>
    <row r="58" customFormat="false" ht="15" hidden="false" customHeight="true" outlineLevel="0" collapsed="false">
      <c r="A58" s="103" t="s">
        <v>261</v>
      </c>
      <c r="B58" s="106"/>
      <c r="C58" s="106"/>
      <c r="D58" s="106"/>
      <c r="E58" s="106"/>
      <c r="F58" s="106"/>
    </row>
    <row r="59" customFormat="false" ht="18" hidden="false" customHeight="true" outlineLevel="0" collapsed="false">
      <c r="A59" s="104"/>
      <c r="B59" s="104"/>
      <c r="C59" s="104"/>
      <c r="D59" s="104"/>
      <c r="E59" s="104"/>
      <c r="F59" s="104"/>
    </row>
    <row r="60" customFormat="false" ht="18" hidden="false" customHeight="true" outlineLevel="0" collapsed="false">
      <c r="A60" s="104"/>
      <c r="B60" s="104"/>
      <c r="C60" s="104"/>
      <c r="D60" s="104"/>
      <c r="E60" s="104"/>
      <c r="F60" s="104"/>
    </row>
    <row r="61" customFormat="false" ht="15" hidden="false" customHeight="true" outlineLevel="0" collapsed="false">
      <c r="A61" s="103" t="s">
        <v>262</v>
      </c>
      <c r="B61" s="106"/>
      <c r="C61" s="106"/>
      <c r="D61" s="106"/>
      <c r="E61" s="106"/>
      <c r="F61" s="106"/>
    </row>
    <row r="62" customFormat="false" ht="18" hidden="false" customHeight="true" outlineLevel="0" collapsed="false">
      <c r="A62" s="104"/>
      <c r="B62" s="104"/>
      <c r="C62" s="104"/>
      <c r="D62" s="104"/>
      <c r="E62" s="104"/>
      <c r="F62" s="104"/>
    </row>
    <row r="63" customFormat="false" ht="18" hidden="false" customHeight="true" outlineLevel="0" collapsed="false">
      <c r="A63" s="104"/>
      <c r="B63" s="104"/>
      <c r="C63" s="104"/>
      <c r="D63" s="104"/>
      <c r="E63" s="104"/>
      <c r="F63" s="104"/>
    </row>
    <row r="64" customFormat="false" ht="15" hidden="false" customHeight="true" outlineLevel="0" collapsed="false">
      <c r="A64" s="103" t="s">
        <v>263</v>
      </c>
      <c r="B64" s="106"/>
      <c r="C64" s="106"/>
      <c r="D64" s="106"/>
      <c r="E64" s="106"/>
      <c r="F64" s="106"/>
    </row>
    <row r="65" customFormat="false" ht="18" hidden="false" customHeight="true" outlineLevel="0" collapsed="false">
      <c r="A65" s="104"/>
      <c r="B65" s="104"/>
      <c r="C65" s="104"/>
      <c r="D65" s="104"/>
      <c r="E65" s="104"/>
      <c r="F65" s="104"/>
    </row>
    <row r="66" customFormat="false" ht="18" hidden="false" customHeight="true" outlineLevel="0" collapsed="false">
      <c r="A66" s="104"/>
      <c r="B66" s="104"/>
      <c r="C66" s="104"/>
      <c r="D66" s="104"/>
      <c r="E66" s="104"/>
      <c r="F66" s="104"/>
    </row>
    <row r="67" customFormat="false" ht="15" hidden="false" customHeight="true" outlineLevel="0" collapsed="false">
      <c r="A67" s="8" t="s">
        <v>267</v>
      </c>
      <c r="B67" s="8"/>
      <c r="C67" s="8"/>
      <c r="D67" s="8"/>
      <c r="E67" s="8"/>
      <c r="F67" s="8"/>
    </row>
    <row r="68" customFormat="false" ht="15" hidden="false" customHeight="true" outlineLevel="0" collapsed="false">
      <c r="A68" s="103" t="s">
        <v>254</v>
      </c>
      <c r="B68" s="104"/>
      <c r="C68" s="104"/>
      <c r="D68" s="103" t="s">
        <v>255</v>
      </c>
      <c r="E68" s="104"/>
      <c r="F68" s="104"/>
    </row>
    <row r="69" customFormat="false" ht="15" hidden="false" customHeight="true" outlineLevel="0" collapsed="false">
      <c r="A69" s="103" t="s">
        <v>256</v>
      </c>
      <c r="B69" s="104"/>
      <c r="C69" s="104"/>
      <c r="D69" s="103" t="s">
        <v>257</v>
      </c>
      <c r="E69" s="104"/>
      <c r="F69" s="104"/>
    </row>
    <row r="70" customFormat="false" ht="15" hidden="false" customHeight="true" outlineLevel="0" collapsed="false">
      <c r="A70" s="103" t="s">
        <v>258</v>
      </c>
      <c r="B70" s="104"/>
      <c r="C70" s="104"/>
      <c r="D70" s="103" t="s">
        <v>259</v>
      </c>
      <c r="E70" s="104"/>
      <c r="F70" s="104"/>
    </row>
    <row r="71" customFormat="false" ht="15" hidden="false" customHeight="true" outlineLevel="0" collapsed="false">
      <c r="A71" s="105" t="s">
        <v>260</v>
      </c>
      <c r="B71" s="106"/>
      <c r="C71" s="106"/>
      <c r="D71" s="106"/>
      <c r="E71" s="106"/>
      <c r="F71" s="106"/>
    </row>
    <row r="72" customFormat="false" ht="18" hidden="false" customHeight="true" outlineLevel="0" collapsed="false">
      <c r="A72" s="104"/>
      <c r="B72" s="104"/>
      <c r="C72" s="104"/>
      <c r="D72" s="104"/>
      <c r="E72" s="104"/>
      <c r="F72" s="104"/>
    </row>
    <row r="73" customFormat="false" ht="18" hidden="false" customHeight="true" outlineLevel="0" collapsed="false">
      <c r="A73" s="104"/>
      <c r="B73" s="104"/>
      <c r="C73" s="104"/>
      <c r="D73" s="104"/>
      <c r="E73" s="104"/>
      <c r="F73" s="104"/>
    </row>
    <row r="74" customFormat="false" ht="15" hidden="false" customHeight="true" outlineLevel="0" collapsed="false">
      <c r="A74" s="103" t="s">
        <v>261</v>
      </c>
      <c r="B74" s="106"/>
      <c r="C74" s="106"/>
      <c r="D74" s="106"/>
      <c r="E74" s="106"/>
      <c r="F74" s="106"/>
    </row>
    <row r="75" customFormat="false" ht="18" hidden="false" customHeight="true" outlineLevel="0" collapsed="false">
      <c r="A75" s="104"/>
      <c r="B75" s="104"/>
      <c r="C75" s="104"/>
      <c r="D75" s="104"/>
      <c r="E75" s="104"/>
      <c r="F75" s="104"/>
    </row>
    <row r="76" customFormat="false" ht="18" hidden="false" customHeight="true" outlineLevel="0" collapsed="false">
      <c r="A76" s="104"/>
      <c r="B76" s="104"/>
      <c r="C76" s="104"/>
      <c r="D76" s="104"/>
      <c r="E76" s="104"/>
      <c r="F76" s="104"/>
    </row>
    <row r="77" customFormat="false" ht="15" hidden="false" customHeight="true" outlineLevel="0" collapsed="false">
      <c r="A77" s="103" t="s">
        <v>262</v>
      </c>
      <c r="B77" s="106"/>
      <c r="C77" s="106"/>
      <c r="D77" s="106"/>
      <c r="E77" s="106"/>
      <c r="F77" s="106"/>
    </row>
    <row r="78" customFormat="false" ht="18" hidden="false" customHeight="true" outlineLevel="0" collapsed="false">
      <c r="A78" s="104"/>
      <c r="B78" s="104"/>
      <c r="C78" s="104"/>
      <c r="D78" s="104"/>
      <c r="E78" s="104"/>
      <c r="F78" s="104"/>
    </row>
    <row r="79" customFormat="false" ht="18" hidden="false" customHeight="true" outlineLevel="0" collapsed="false">
      <c r="A79" s="104"/>
      <c r="B79" s="104"/>
      <c r="C79" s="104"/>
      <c r="D79" s="104"/>
      <c r="E79" s="104"/>
      <c r="F79" s="104"/>
    </row>
    <row r="80" customFormat="false" ht="15" hidden="false" customHeight="true" outlineLevel="0" collapsed="false">
      <c r="A80" s="103" t="s">
        <v>263</v>
      </c>
      <c r="B80" s="106"/>
      <c r="C80" s="106"/>
      <c r="D80" s="106"/>
      <c r="E80" s="106"/>
      <c r="F80" s="106"/>
    </row>
    <row r="81" customFormat="false" ht="18" hidden="false" customHeight="true" outlineLevel="0" collapsed="false">
      <c r="A81" s="104"/>
      <c r="B81" s="104"/>
      <c r="C81" s="104"/>
      <c r="D81" s="104"/>
      <c r="E81" s="104"/>
      <c r="F81" s="104"/>
    </row>
    <row r="82" customFormat="false" ht="18" hidden="false" customHeight="true" outlineLevel="0" collapsed="false">
      <c r="A82" s="104"/>
      <c r="B82" s="104"/>
      <c r="C82" s="104"/>
      <c r="D82" s="104"/>
      <c r="E82" s="104"/>
      <c r="F82" s="104"/>
    </row>
    <row r="83" customFormat="false" ht="15" hidden="false" customHeight="true" outlineLevel="0" collapsed="false">
      <c r="A83" s="8" t="s">
        <v>268</v>
      </c>
      <c r="B83" s="8"/>
      <c r="C83" s="8"/>
      <c r="D83" s="8"/>
      <c r="E83" s="8"/>
      <c r="F83" s="8"/>
    </row>
    <row r="84" customFormat="false" ht="15" hidden="false" customHeight="true" outlineLevel="0" collapsed="false">
      <c r="A84" s="103" t="s">
        <v>254</v>
      </c>
      <c r="B84" s="104"/>
      <c r="C84" s="104"/>
      <c r="D84" s="103" t="s">
        <v>255</v>
      </c>
      <c r="E84" s="104"/>
      <c r="F84" s="104"/>
    </row>
    <row r="85" customFormat="false" ht="15" hidden="false" customHeight="true" outlineLevel="0" collapsed="false">
      <c r="A85" s="103" t="s">
        <v>256</v>
      </c>
      <c r="B85" s="104"/>
      <c r="C85" s="104"/>
      <c r="D85" s="103" t="s">
        <v>257</v>
      </c>
      <c r="E85" s="104"/>
      <c r="F85" s="104"/>
    </row>
    <row r="86" customFormat="false" ht="15" hidden="false" customHeight="true" outlineLevel="0" collapsed="false">
      <c r="A86" s="103" t="s">
        <v>258</v>
      </c>
      <c r="B86" s="104"/>
      <c r="C86" s="104"/>
      <c r="D86" s="103" t="s">
        <v>259</v>
      </c>
      <c r="E86" s="104"/>
      <c r="F86" s="104"/>
    </row>
    <row r="87" customFormat="false" ht="15" hidden="false" customHeight="true" outlineLevel="0" collapsed="false">
      <c r="A87" s="105" t="s">
        <v>260</v>
      </c>
      <c r="B87" s="106"/>
      <c r="C87" s="106"/>
      <c r="D87" s="106"/>
      <c r="E87" s="106"/>
      <c r="F87" s="106"/>
    </row>
    <row r="88" customFormat="false" ht="18" hidden="false" customHeight="true" outlineLevel="0" collapsed="false">
      <c r="A88" s="104"/>
      <c r="B88" s="104"/>
      <c r="C88" s="104"/>
      <c r="D88" s="104"/>
      <c r="E88" s="104"/>
      <c r="F88" s="104"/>
    </row>
    <row r="89" customFormat="false" ht="18" hidden="false" customHeight="true" outlineLevel="0" collapsed="false">
      <c r="A89" s="104"/>
      <c r="B89" s="104"/>
      <c r="C89" s="104"/>
      <c r="D89" s="104"/>
      <c r="E89" s="104"/>
      <c r="F89" s="104"/>
    </row>
    <row r="90" customFormat="false" ht="15" hidden="false" customHeight="true" outlineLevel="0" collapsed="false">
      <c r="A90" s="103" t="s">
        <v>261</v>
      </c>
      <c r="B90" s="106"/>
      <c r="C90" s="106"/>
      <c r="D90" s="106"/>
      <c r="E90" s="106"/>
      <c r="F90" s="106"/>
    </row>
    <row r="91" customFormat="false" ht="18" hidden="false" customHeight="true" outlineLevel="0" collapsed="false">
      <c r="A91" s="104"/>
      <c r="B91" s="104"/>
      <c r="C91" s="104"/>
      <c r="D91" s="104"/>
      <c r="E91" s="104"/>
      <c r="F91" s="104"/>
    </row>
    <row r="92" customFormat="false" ht="18" hidden="false" customHeight="true" outlineLevel="0" collapsed="false">
      <c r="A92" s="104"/>
      <c r="B92" s="104"/>
      <c r="C92" s="104"/>
      <c r="D92" s="104"/>
      <c r="E92" s="104"/>
      <c r="F92" s="104"/>
    </row>
    <row r="93" customFormat="false" ht="15" hidden="false" customHeight="true" outlineLevel="0" collapsed="false">
      <c r="A93" s="103" t="s">
        <v>262</v>
      </c>
      <c r="B93" s="106"/>
      <c r="C93" s="106"/>
      <c r="D93" s="106"/>
      <c r="E93" s="106"/>
      <c r="F93" s="106"/>
    </row>
    <row r="94" customFormat="false" ht="18" hidden="false" customHeight="true" outlineLevel="0" collapsed="false">
      <c r="A94" s="104"/>
      <c r="B94" s="104"/>
      <c r="C94" s="104"/>
      <c r="D94" s="104"/>
      <c r="E94" s="104"/>
      <c r="F94" s="104"/>
    </row>
    <row r="95" customFormat="false" ht="18" hidden="false" customHeight="true" outlineLevel="0" collapsed="false">
      <c r="A95" s="104"/>
      <c r="B95" s="104"/>
      <c r="C95" s="104"/>
      <c r="D95" s="104"/>
      <c r="E95" s="104"/>
      <c r="F95" s="104"/>
    </row>
    <row r="96" customFormat="false" ht="15" hidden="false" customHeight="true" outlineLevel="0" collapsed="false">
      <c r="A96" s="103" t="s">
        <v>263</v>
      </c>
      <c r="B96" s="106"/>
      <c r="C96" s="106"/>
      <c r="D96" s="106"/>
      <c r="E96" s="106"/>
      <c r="F96" s="106"/>
    </row>
    <row r="97" customFormat="false" ht="18" hidden="false" customHeight="true" outlineLevel="0" collapsed="false">
      <c r="A97" s="104"/>
      <c r="B97" s="104"/>
      <c r="C97" s="104"/>
      <c r="D97" s="104"/>
      <c r="E97" s="104"/>
      <c r="F97" s="104"/>
    </row>
    <row r="98" customFormat="false" ht="18" hidden="false" customHeight="true" outlineLevel="0" collapsed="false">
      <c r="A98" s="104"/>
      <c r="B98" s="104"/>
      <c r="C98" s="104"/>
      <c r="D98" s="104"/>
      <c r="E98" s="104"/>
      <c r="F98" s="104"/>
    </row>
    <row r="99" customFormat="false" ht="15" hidden="false" customHeight="true" outlineLevel="0" collapsed="false">
      <c r="A99" s="8" t="s">
        <v>269</v>
      </c>
      <c r="B99" s="8"/>
      <c r="C99" s="8"/>
      <c r="D99" s="8"/>
      <c r="E99" s="8"/>
      <c r="F99" s="8"/>
    </row>
    <row r="100" customFormat="false" ht="15" hidden="false" customHeight="true" outlineLevel="0" collapsed="false">
      <c r="A100" s="103" t="s">
        <v>254</v>
      </c>
      <c r="B100" s="104"/>
      <c r="C100" s="104"/>
      <c r="D100" s="103" t="s">
        <v>255</v>
      </c>
      <c r="E100" s="104"/>
      <c r="F100" s="104"/>
    </row>
    <row r="101" customFormat="false" ht="15" hidden="false" customHeight="true" outlineLevel="0" collapsed="false">
      <c r="A101" s="103" t="s">
        <v>256</v>
      </c>
      <c r="B101" s="104"/>
      <c r="C101" s="104"/>
      <c r="D101" s="103" t="s">
        <v>257</v>
      </c>
      <c r="E101" s="104"/>
      <c r="F101" s="104"/>
    </row>
    <row r="102" customFormat="false" ht="15" hidden="false" customHeight="true" outlineLevel="0" collapsed="false">
      <c r="A102" s="103" t="s">
        <v>258</v>
      </c>
      <c r="B102" s="104"/>
      <c r="C102" s="104"/>
      <c r="D102" s="103" t="s">
        <v>259</v>
      </c>
      <c r="E102" s="104"/>
      <c r="F102" s="104"/>
    </row>
    <row r="103" customFormat="false" ht="15" hidden="false" customHeight="true" outlineLevel="0" collapsed="false">
      <c r="A103" s="105" t="s">
        <v>260</v>
      </c>
      <c r="B103" s="106"/>
      <c r="C103" s="106"/>
      <c r="D103" s="106"/>
      <c r="E103" s="106"/>
      <c r="F103" s="106"/>
    </row>
    <row r="104" customFormat="false" ht="18" hidden="false" customHeight="true" outlineLevel="0" collapsed="false">
      <c r="A104" s="104"/>
      <c r="B104" s="104"/>
      <c r="C104" s="104"/>
      <c r="D104" s="104"/>
      <c r="E104" s="104"/>
      <c r="F104" s="104"/>
    </row>
    <row r="105" customFormat="false" ht="18" hidden="false" customHeight="true" outlineLevel="0" collapsed="false">
      <c r="A105" s="104"/>
      <c r="B105" s="104"/>
      <c r="C105" s="104"/>
      <c r="D105" s="104"/>
      <c r="E105" s="104"/>
      <c r="F105" s="104"/>
    </row>
    <row r="106" customFormat="false" ht="15" hidden="false" customHeight="true" outlineLevel="0" collapsed="false">
      <c r="A106" s="103" t="s">
        <v>261</v>
      </c>
      <c r="B106" s="106"/>
      <c r="C106" s="106"/>
      <c r="D106" s="106"/>
      <c r="E106" s="106"/>
      <c r="F106" s="106"/>
    </row>
    <row r="107" customFormat="false" ht="18" hidden="false" customHeight="true" outlineLevel="0" collapsed="false">
      <c r="A107" s="104"/>
      <c r="B107" s="104"/>
      <c r="C107" s="104"/>
      <c r="D107" s="104"/>
      <c r="E107" s="104"/>
      <c r="F107" s="104"/>
    </row>
    <row r="108" customFormat="false" ht="18" hidden="false" customHeight="true" outlineLevel="0" collapsed="false">
      <c r="A108" s="104"/>
      <c r="B108" s="104"/>
      <c r="C108" s="104"/>
      <c r="D108" s="104"/>
      <c r="E108" s="104"/>
      <c r="F108" s="104"/>
    </row>
    <row r="109" customFormat="false" ht="15" hidden="false" customHeight="true" outlineLevel="0" collapsed="false">
      <c r="A109" s="103" t="s">
        <v>262</v>
      </c>
      <c r="B109" s="106"/>
      <c r="C109" s="106"/>
      <c r="D109" s="106"/>
      <c r="E109" s="106"/>
      <c r="F109" s="106"/>
    </row>
    <row r="110" customFormat="false" ht="18" hidden="false" customHeight="true" outlineLevel="0" collapsed="false">
      <c r="A110" s="104"/>
      <c r="B110" s="104"/>
      <c r="C110" s="104"/>
      <c r="D110" s="104"/>
      <c r="E110" s="104"/>
      <c r="F110" s="104"/>
    </row>
    <row r="111" customFormat="false" ht="18" hidden="false" customHeight="true" outlineLevel="0" collapsed="false">
      <c r="A111" s="104"/>
      <c r="B111" s="104"/>
      <c r="C111" s="104"/>
      <c r="D111" s="104"/>
      <c r="E111" s="104"/>
      <c r="F111" s="104"/>
    </row>
    <row r="112" customFormat="false" ht="15" hidden="false" customHeight="true" outlineLevel="0" collapsed="false">
      <c r="A112" s="103" t="s">
        <v>263</v>
      </c>
      <c r="B112" s="106"/>
      <c r="C112" s="106"/>
      <c r="D112" s="106"/>
      <c r="E112" s="106"/>
      <c r="F112" s="106"/>
    </row>
    <row r="113" customFormat="false" ht="18" hidden="false" customHeight="true" outlineLevel="0" collapsed="false">
      <c r="A113" s="104"/>
      <c r="B113" s="104"/>
      <c r="C113" s="104"/>
      <c r="D113" s="104"/>
      <c r="E113" s="104"/>
      <c r="F113" s="104"/>
    </row>
    <row r="114" customFormat="false" ht="18" hidden="false" customHeight="true" outlineLevel="0" collapsed="false">
      <c r="A114" s="104"/>
      <c r="B114" s="104"/>
      <c r="C114" s="104"/>
      <c r="D114" s="104"/>
      <c r="E114" s="104"/>
      <c r="F114" s="104"/>
    </row>
    <row r="115" customFormat="false" ht="15" hidden="false" customHeight="true" outlineLevel="0" collapsed="false">
      <c r="A115" s="8" t="s">
        <v>270</v>
      </c>
      <c r="B115" s="8"/>
      <c r="C115" s="8"/>
      <c r="D115" s="8"/>
      <c r="E115" s="8"/>
      <c r="F115" s="8"/>
    </row>
    <row r="116" customFormat="false" ht="15" hidden="false" customHeight="true" outlineLevel="0" collapsed="false">
      <c r="A116" s="103" t="s">
        <v>254</v>
      </c>
      <c r="B116" s="104"/>
      <c r="C116" s="104"/>
      <c r="D116" s="103" t="s">
        <v>255</v>
      </c>
      <c r="E116" s="104"/>
      <c r="F116" s="104"/>
    </row>
    <row r="117" customFormat="false" ht="15" hidden="false" customHeight="true" outlineLevel="0" collapsed="false">
      <c r="A117" s="103" t="s">
        <v>256</v>
      </c>
      <c r="B117" s="104"/>
      <c r="C117" s="104"/>
      <c r="D117" s="103" t="s">
        <v>257</v>
      </c>
      <c r="E117" s="104"/>
      <c r="F117" s="104"/>
    </row>
    <row r="118" customFormat="false" ht="15" hidden="false" customHeight="true" outlineLevel="0" collapsed="false">
      <c r="A118" s="103" t="s">
        <v>258</v>
      </c>
      <c r="B118" s="104"/>
      <c r="C118" s="104"/>
      <c r="D118" s="103" t="s">
        <v>259</v>
      </c>
      <c r="E118" s="104"/>
      <c r="F118" s="104"/>
    </row>
    <row r="119" customFormat="false" ht="15" hidden="false" customHeight="true" outlineLevel="0" collapsed="false">
      <c r="A119" s="105" t="s">
        <v>260</v>
      </c>
      <c r="B119" s="106"/>
      <c r="C119" s="106"/>
      <c r="D119" s="106"/>
      <c r="E119" s="106"/>
      <c r="F119" s="106"/>
    </row>
    <row r="120" customFormat="false" ht="18" hidden="false" customHeight="true" outlineLevel="0" collapsed="false">
      <c r="A120" s="104"/>
      <c r="B120" s="104"/>
      <c r="C120" s="104"/>
      <c r="D120" s="104"/>
      <c r="E120" s="104"/>
      <c r="F120" s="104"/>
    </row>
    <row r="121" customFormat="false" ht="18" hidden="false" customHeight="true" outlineLevel="0" collapsed="false">
      <c r="A121" s="104"/>
      <c r="B121" s="104"/>
      <c r="C121" s="104"/>
      <c r="D121" s="104"/>
      <c r="E121" s="104"/>
      <c r="F121" s="104"/>
    </row>
    <row r="122" customFormat="false" ht="15" hidden="false" customHeight="true" outlineLevel="0" collapsed="false">
      <c r="A122" s="103" t="s">
        <v>261</v>
      </c>
      <c r="B122" s="106"/>
      <c r="C122" s="106"/>
      <c r="D122" s="106"/>
      <c r="E122" s="106"/>
      <c r="F122" s="106"/>
    </row>
    <row r="123" customFormat="false" ht="18" hidden="false" customHeight="true" outlineLevel="0" collapsed="false">
      <c r="A123" s="104"/>
      <c r="B123" s="104"/>
      <c r="C123" s="104"/>
      <c r="D123" s="104"/>
      <c r="E123" s="104"/>
      <c r="F123" s="104"/>
    </row>
    <row r="124" customFormat="false" ht="18" hidden="false" customHeight="true" outlineLevel="0" collapsed="false">
      <c r="A124" s="104"/>
      <c r="B124" s="104"/>
      <c r="C124" s="104"/>
      <c r="D124" s="104"/>
      <c r="E124" s="104"/>
      <c r="F124" s="104"/>
    </row>
    <row r="125" customFormat="false" ht="15" hidden="false" customHeight="true" outlineLevel="0" collapsed="false">
      <c r="A125" s="103" t="s">
        <v>262</v>
      </c>
      <c r="B125" s="106"/>
      <c r="C125" s="106"/>
      <c r="D125" s="106"/>
      <c r="E125" s="106"/>
      <c r="F125" s="106"/>
    </row>
    <row r="126" customFormat="false" ht="18" hidden="false" customHeight="true" outlineLevel="0" collapsed="false">
      <c r="A126" s="104"/>
      <c r="B126" s="104"/>
      <c r="C126" s="104"/>
      <c r="D126" s="104"/>
      <c r="E126" s="104"/>
      <c r="F126" s="104"/>
    </row>
    <row r="127" customFormat="false" ht="18" hidden="false" customHeight="true" outlineLevel="0" collapsed="false">
      <c r="A127" s="104"/>
      <c r="B127" s="104"/>
      <c r="C127" s="104"/>
      <c r="D127" s="104"/>
      <c r="E127" s="104"/>
      <c r="F127" s="104"/>
    </row>
    <row r="128" customFormat="false" ht="15" hidden="false" customHeight="true" outlineLevel="0" collapsed="false">
      <c r="A128" s="103" t="s">
        <v>263</v>
      </c>
      <c r="B128" s="106"/>
      <c r="C128" s="106"/>
      <c r="D128" s="106"/>
      <c r="E128" s="106"/>
      <c r="F128" s="106"/>
    </row>
    <row r="129" customFormat="false" ht="18" hidden="false" customHeight="true" outlineLevel="0" collapsed="false">
      <c r="A129" s="104"/>
      <c r="B129" s="104"/>
      <c r="C129" s="104"/>
      <c r="D129" s="104"/>
      <c r="E129" s="104"/>
      <c r="F129" s="104"/>
    </row>
    <row r="130" customFormat="false" ht="18" hidden="false" customHeight="true" outlineLevel="0" collapsed="false">
      <c r="A130" s="104"/>
      <c r="B130" s="104"/>
      <c r="C130" s="104"/>
      <c r="D130" s="104"/>
      <c r="E130" s="104"/>
      <c r="F130" s="104"/>
    </row>
  </sheetData>
  <mergeCells count="153">
    <mergeCell ref="A1:F1"/>
    <mergeCell ref="A3:F3"/>
    <mergeCell ref="B4:C4"/>
    <mergeCell ref="E4:F4"/>
    <mergeCell ref="B5:C5"/>
    <mergeCell ref="E5:F5"/>
    <mergeCell ref="B6:C6"/>
    <mergeCell ref="E6:F6"/>
    <mergeCell ref="B7:F7"/>
    <mergeCell ref="A8:F8"/>
    <mergeCell ref="A9:F9"/>
    <mergeCell ref="B10:F10"/>
    <mergeCell ref="A11:F11"/>
    <mergeCell ref="A12:F12"/>
    <mergeCell ref="B13:F13"/>
    <mergeCell ref="A14:F14"/>
    <mergeCell ref="A15:F15"/>
    <mergeCell ref="B16:F16"/>
    <mergeCell ref="A17:F17"/>
    <mergeCell ref="A18:F18"/>
    <mergeCell ref="A19:F19"/>
    <mergeCell ref="B20:C20"/>
    <mergeCell ref="E20:F20"/>
    <mergeCell ref="B21:C21"/>
    <mergeCell ref="E21:F21"/>
    <mergeCell ref="B22:C22"/>
    <mergeCell ref="E22:F22"/>
    <mergeCell ref="B23:F23"/>
    <mergeCell ref="A24:F24"/>
    <mergeCell ref="A25:F25"/>
    <mergeCell ref="B26:F26"/>
    <mergeCell ref="A27:F27"/>
    <mergeCell ref="A28:F28"/>
    <mergeCell ref="B29:F29"/>
    <mergeCell ref="A30:F30"/>
    <mergeCell ref="A31:F31"/>
    <mergeCell ref="B32:F32"/>
    <mergeCell ref="A33:F33"/>
    <mergeCell ref="A34:F34"/>
    <mergeCell ref="A35:F35"/>
    <mergeCell ref="B36:C36"/>
    <mergeCell ref="E36:F36"/>
    <mergeCell ref="B37:C37"/>
    <mergeCell ref="E37:F37"/>
    <mergeCell ref="B38:C38"/>
    <mergeCell ref="E38:F38"/>
    <mergeCell ref="B39:F39"/>
    <mergeCell ref="A40:F40"/>
    <mergeCell ref="A41:F41"/>
    <mergeCell ref="B42:F42"/>
    <mergeCell ref="A43:F43"/>
    <mergeCell ref="A44:F44"/>
    <mergeCell ref="B45:F45"/>
    <mergeCell ref="A46:F46"/>
    <mergeCell ref="A47:F47"/>
    <mergeCell ref="B48:F48"/>
    <mergeCell ref="A49:F49"/>
    <mergeCell ref="A50:F50"/>
    <mergeCell ref="A51:F51"/>
    <mergeCell ref="B52:C52"/>
    <mergeCell ref="E52:F52"/>
    <mergeCell ref="B53:C53"/>
    <mergeCell ref="E53:F53"/>
    <mergeCell ref="B54:C54"/>
    <mergeCell ref="E54:F54"/>
    <mergeCell ref="B55:F55"/>
    <mergeCell ref="A56:F56"/>
    <mergeCell ref="A57:F57"/>
    <mergeCell ref="B58:F58"/>
    <mergeCell ref="A59:F59"/>
    <mergeCell ref="A60:F60"/>
    <mergeCell ref="B61:F61"/>
    <mergeCell ref="A62:F62"/>
    <mergeCell ref="A63:F63"/>
    <mergeCell ref="B64:F64"/>
    <mergeCell ref="A65:F65"/>
    <mergeCell ref="A66:F66"/>
    <mergeCell ref="A67:F67"/>
    <mergeCell ref="B68:C68"/>
    <mergeCell ref="E68:F68"/>
    <mergeCell ref="B69:C69"/>
    <mergeCell ref="E69:F69"/>
    <mergeCell ref="B70:C70"/>
    <mergeCell ref="E70:F70"/>
    <mergeCell ref="B71:F71"/>
    <mergeCell ref="A72:F72"/>
    <mergeCell ref="A73:F73"/>
    <mergeCell ref="B74:F74"/>
    <mergeCell ref="A75:F75"/>
    <mergeCell ref="A76:F76"/>
    <mergeCell ref="B77:F77"/>
    <mergeCell ref="A78:F78"/>
    <mergeCell ref="A79:F79"/>
    <mergeCell ref="B80:F80"/>
    <mergeCell ref="A81:F81"/>
    <mergeCell ref="A82:F82"/>
    <mergeCell ref="A83:F83"/>
    <mergeCell ref="B84:C84"/>
    <mergeCell ref="E84:F84"/>
    <mergeCell ref="B85:C85"/>
    <mergeCell ref="E85:F85"/>
    <mergeCell ref="B86:C86"/>
    <mergeCell ref="E86:F86"/>
    <mergeCell ref="B87:F87"/>
    <mergeCell ref="A88:F88"/>
    <mergeCell ref="A89:F89"/>
    <mergeCell ref="B90:F90"/>
    <mergeCell ref="A91:F91"/>
    <mergeCell ref="A92:F92"/>
    <mergeCell ref="B93:F93"/>
    <mergeCell ref="A94:F94"/>
    <mergeCell ref="A95:F95"/>
    <mergeCell ref="B96:F96"/>
    <mergeCell ref="A97:F97"/>
    <mergeCell ref="A98:F98"/>
    <mergeCell ref="A99:F99"/>
    <mergeCell ref="B100:C100"/>
    <mergeCell ref="E100:F100"/>
    <mergeCell ref="B101:C101"/>
    <mergeCell ref="E101:F101"/>
    <mergeCell ref="B102:C102"/>
    <mergeCell ref="E102:F102"/>
    <mergeCell ref="B103:F103"/>
    <mergeCell ref="A104:F104"/>
    <mergeCell ref="A105:F105"/>
    <mergeCell ref="B106:F106"/>
    <mergeCell ref="A107:F107"/>
    <mergeCell ref="A108:F108"/>
    <mergeCell ref="B109:F109"/>
    <mergeCell ref="A110:F110"/>
    <mergeCell ref="A111:F111"/>
    <mergeCell ref="B112:F112"/>
    <mergeCell ref="A113:F113"/>
    <mergeCell ref="A114:F114"/>
    <mergeCell ref="A115:F115"/>
    <mergeCell ref="B116:C116"/>
    <mergeCell ref="E116:F116"/>
    <mergeCell ref="B117:C117"/>
    <mergeCell ref="E117:F117"/>
    <mergeCell ref="B118:C118"/>
    <mergeCell ref="E118:F118"/>
    <mergeCell ref="B119:F119"/>
    <mergeCell ref="A120:F120"/>
    <mergeCell ref="A121:F121"/>
    <mergeCell ref="B122:F122"/>
    <mergeCell ref="A123:F123"/>
    <mergeCell ref="A124:F124"/>
    <mergeCell ref="B125:F125"/>
    <mergeCell ref="A126:F126"/>
    <mergeCell ref="A127:F127"/>
    <mergeCell ref="B128:F128"/>
    <mergeCell ref="A129:F129"/>
    <mergeCell ref="A130:F1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4" min="3" style="1" width="22"/>
    <col collapsed="false" customWidth="true" hidden="false" outlineLevel="0" max="5" min="5" style="1" width="20"/>
  </cols>
  <sheetData>
    <row r="1" customFormat="false" ht="31.5" hidden="false" customHeight="true" outlineLevel="0" collapsed="false">
      <c r="A1" s="73" t="s">
        <v>271</v>
      </c>
      <c r="B1" s="73"/>
      <c r="C1" s="73"/>
      <c r="D1" s="73"/>
      <c r="E1" s="73"/>
    </row>
    <row r="3" customFormat="false" ht="15" hidden="false" customHeight="true" outlineLevel="0" collapsed="false">
      <c r="A3" s="8" t="s">
        <v>272</v>
      </c>
      <c r="B3" s="8"/>
      <c r="C3" s="8"/>
      <c r="D3" s="8"/>
      <c r="E3" s="8"/>
    </row>
    <row r="4" customFormat="false" ht="15" hidden="false" customHeight="true" outlineLevel="0" collapsed="false">
      <c r="A4" s="9" t="s">
        <v>273</v>
      </c>
      <c r="B4" s="9"/>
      <c r="C4" s="9" t="s">
        <v>14</v>
      </c>
      <c r="D4" s="9" t="s">
        <v>274</v>
      </c>
      <c r="E4" s="9"/>
    </row>
    <row r="5" customFormat="false" ht="15" hidden="false" customHeight="true" outlineLevel="0" collapsed="false">
      <c r="A5" s="10" t="s">
        <v>275</v>
      </c>
      <c r="B5" s="10" t="s">
        <v>276</v>
      </c>
      <c r="C5" s="12" t="s">
        <v>277</v>
      </c>
      <c r="D5" s="10" t="s">
        <v>278</v>
      </c>
      <c r="E5" s="10"/>
    </row>
    <row r="6" customFormat="false" ht="15" hidden="false" customHeight="true" outlineLevel="0" collapsed="false">
      <c r="A6" s="16" t="s">
        <v>279</v>
      </c>
      <c r="B6" s="16" t="s">
        <v>276</v>
      </c>
      <c r="C6" s="18" t="s">
        <v>280</v>
      </c>
      <c r="D6" s="16" t="s">
        <v>281</v>
      </c>
      <c r="E6" s="16"/>
    </row>
    <row r="7" customFormat="false" ht="15" hidden="false" customHeight="true" outlineLevel="0" collapsed="false">
      <c r="A7" s="14" t="s">
        <v>282</v>
      </c>
      <c r="B7" s="14" t="s">
        <v>276</v>
      </c>
      <c r="C7" s="13" t="s">
        <v>283</v>
      </c>
      <c r="D7" s="14" t="s">
        <v>284</v>
      </c>
      <c r="E7" s="14"/>
    </row>
    <row r="10" customFormat="false" ht="15" hidden="false" customHeight="true" outlineLevel="0" collapsed="false">
      <c r="A10" s="8" t="s">
        <v>285</v>
      </c>
      <c r="B10" s="8"/>
      <c r="C10" s="8"/>
      <c r="D10" s="8"/>
      <c r="E10" s="8"/>
    </row>
    <row r="11" customFormat="false" ht="15" hidden="false" customHeight="true" outlineLevel="0" collapsed="false">
      <c r="A11" s="9" t="s">
        <v>286</v>
      </c>
      <c r="B11" s="9" t="s">
        <v>287</v>
      </c>
      <c r="C11" s="9" t="s">
        <v>288</v>
      </c>
      <c r="D11" s="9" t="s">
        <v>289</v>
      </c>
      <c r="E11" s="9" t="s">
        <v>290</v>
      </c>
    </row>
    <row r="12" customFormat="false" ht="23.25" hidden="false" customHeight="true" outlineLevel="0" collapsed="false">
      <c r="A12" s="58" t="s">
        <v>291</v>
      </c>
      <c r="B12" s="59" t="s">
        <v>292</v>
      </c>
      <c r="C12" s="59" t="s">
        <v>293</v>
      </c>
      <c r="D12" s="59" t="s">
        <v>294</v>
      </c>
      <c r="E12" s="59" t="s">
        <v>295</v>
      </c>
    </row>
    <row r="13" customFormat="false" ht="15" hidden="false" customHeight="true" outlineLevel="0" collapsed="false">
      <c r="A13" s="52" t="s">
        <v>296</v>
      </c>
      <c r="B13" s="53" t="s">
        <v>297</v>
      </c>
      <c r="C13" s="53" t="s">
        <v>298</v>
      </c>
      <c r="D13" s="53" t="s">
        <v>299</v>
      </c>
      <c r="E13" s="53" t="s">
        <v>300</v>
      </c>
    </row>
    <row r="14" customFormat="false" ht="15" hidden="false" customHeight="true" outlineLevel="0" collapsed="false">
      <c r="A14" s="58" t="s">
        <v>301</v>
      </c>
      <c r="B14" s="59" t="s">
        <v>302</v>
      </c>
      <c r="C14" s="59" t="s">
        <v>303</v>
      </c>
      <c r="D14" s="59" t="s">
        <v>284</v>
      </c>
      <c r="E14" s="59" t="s">
        <v>304</v>
      </c>
    </row>
    <row r="15" customFormat="false" ht="15" hidden="false" customHeight="true" outlineLevel="0" collapsed="false">
      <c r="A15" s="52" t="s">
        <v>37</v>
      </c>
      <c r="B15" s="53" t="s">
        <v>305</v>
      </c>
      <c r="C15" s="53" t="s">
        <v>306</v>
      </c>
      <c r="D15" s="53" t="s">
        <v>307</v>
      </c>
      <c r="E15" s="53" t="s">
        <v>308</v>
      </c>
    </row>
    <row r="18" customFormat="false" ht="15" hidden="false" customHeight="true" outlineLevel="0" collapsed="false">
      <c r="A18" s="8" t="s">
        <v>309</v>
      </c>
      <c r="B18" s="8"/>
      <c r="C18" s="8"/>
      <c r="D18" s="8"/>
      <c r="E18" s="8"/>
    </row>
    <row r="19" customFormat="false" ht="15" hidden="false" customHeight="true" outlineLevel="0" collapsed="false">
      <c r="A19" s="9" t="s">
        <v>310</v>
      </c>
      <c r="B19" s="9" t="s">
        <v>311</v>
      </c>
      <c r="C19" s="9" t="s">
        <v>312</v>
      </c>
      <c r="D19" s="9" t="s">
        <v>313</v>
      </c>
      <c r="E19" s="9" t="s">
        <v>15</v>
      </c>
    </row>
    <row r="20" customFormat="false" ht="23.25" hidden="false" customHeight="true" outlineLevel="0" collapsed="false">
      <c r="A20" s="12" t="s">
        <v>314</v>
      </c>
      <c r="B20" s="10" t="s">
        <v>315</v>
      </c>
      <c r="C20" s="10" t="s">
        <v>316</v>
      </c>
      <c r="D20" s="10" t="s">
        <v>317</v>
      </c>
      <c r="E20" s="10" t="s">
        <v>318</v>
      </c>
    </row>
    <row r="21" customFormat="false" ht="23.25" hidden="false" customHeight="true" outlineLevel="0" collapsed="false">
      <c r="A21" s="18" t="s">
        <v>319</v>
      </c>
      <c r="B21" s="16" t="s">
        <v>320</v>
      </c>
      <c r="C21" s="16" t="s">
        <v>321</v>
      </c>
      <c r="D21" s="16" t="s">
        <v>322</v>
      </c>
      <c r="E21" s="16" t="s">
        <v>323</v>
      </c>
    </row>
    <row r="22" customFormat="false" ht="23.25" hidden="false" customHeight="true" outlineLevel="0" collapsed="false">
      <c r="A22" s="13" t="s">
        <v>324</v>
      </c>
      <c r="B22" s="14" t="s">
        <v>325</v>
      </c>
      <c r="C22" s="14" t="s">
        <v>326</v>
      </c>
      <c r="D22" s="14" t="s">
        <v>327</v>
      </c>
      <c r="E22" s="14" t="s">
        <v>328</v>
      </c>
    </row>
    <row r="23" customFormat="false" ht="23.25" hidden="false" customHeight="true" outlineLevel="0" collapsed="false">
      <c r="A23" s="12" t="s">
        <v>329</v>
      </c>
      <c r="B23" s="10" t="s">
        <v>330</v>
      </c>
      <c r="C23" s="10" t="s">
        <v>331</v>
      </c>
      <c r="D23" s="10" t="s">
        <v>332</v>
      </c>
      <c r="E23" s="10" t="s">
        <v>318</v>
      </c>
    </row>
    <row r="26" customFormat="false" ht="15" hidden="false" customHeight="true" outlineLevel="0" collapsed="false">
      <c r="A26" s="8" t="s">
        <v>333</v>
      </c>
      <c r="B26" s="8"/>
      <c r="C26" s="8"/>
      <c r="D26" s="8"/>
      <c r="E26" s="8"/>
    </row>
    <row r="27" customFormat="false" ht="15" hidden="false" customHeight="true" outlineLevel="0" collapsed="false">
      <c r="A27" s="9" t="s">
        <v>334</v>
      </c>
      <c r="B27" s="9" t="s">
        <v>335</v>
      </c>
      <c r="C27" s="9" t="s">
        <v>336</v>
      </c>
      <c r="D27" s="9"/>
      <c r="E27" s="9"/>
    </row>
    <row r="28" customFormat="false" ht="23.25" hidden="false" customHeight="true" outlineLevel="0" collapsed="false">
      <c r="A28" s="12" t="s">
        <v>337</v>
      </c>
      <c r="B28" s="12" t="s">
        <v>338</v>
      </c>
      <c r="C28" s="11" t="s">
        <v>339</v>
      </c>
      <c r="D28" s="11"/>
      <c r="E28" s="11"/>
    </row>
    <row r="29" customFormat="false" ht="23.25" hidden="false" customHeight="true" outlineLevel="0" collapsed="false">
      <c r="A29" s="12" t="s">
        <v>340</v>
      </c>
      <c r="B29" s="12" t="s">
        <v>338</v>
      </c>
      <c r="C29" s="11" t="s">
        <v>341</v>
      </c>
      <c r="D29" s="11"/>
      <c r="E29" s="11"/>
    </row>
    <row r="30" customFormat="false" ht="23.25" hidden="false" customHeight="true" outlineLevel="0" collapsed="false">
      <c r="A30" s="13" t="s">
        <v>342</v>
      </c>
      <c r="B30" s="13" t="s">
        <v>343</v>
      </c>
      <c r="C30" s="15" t="s">
        <v>344</v>
      </c>
      <c r="D30" s="15"/>
      <c r="E30" s="15"/>
    </row>
    <row r="31" customFormat="false" ht="23.25" hidden="false" customHeight="true" outlineLevel="0" collapsed="false">
      <c r="A31" s="13" t="s">
        <v>345</v>
      </c>
      <c r="B31" s="13" t="s">
        <v>346</v>
      </c>
      <c r="C31" s="15" t="s">
        <v>347</v>
      </c>
      <c r="D31" s="15"/>
      <c r="E31" s="15"/>
    </row>
    <row r="32" customFormat="false" ht="23.25" hidden="false" customHeight="true" outlineLevel="0" collapsed="false">
      <c r="A32" s="18" t="s">
        <v>348</v>
      </c>
      <c r="B32" s="18" t="s">
        <v>349</v>
      </c>
      <c r="C32" s="17" t="s">
        <v>350</v>
      </c>
      <c r="D32" s="17"/>
      <c r="E32" s="17"/>
    </row>
  </sheetData>
  <mergeCells count="5">
    <mergeCell ref="A1:E1"/>
    <mergeCell ref="A3:E3"/>
    <mergeCell ref="A10:E10"/>
    <mergeCell ref="A18:E18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5"/>
    <col collapsed="false" customWidth="true" hidden="false" outlineLevel="0" max="3" min="3" style="1" width="30"/>
    <col collapsed="false" customWidth="true" hidden="false" outlineLevel="0" max="4" min="4" style="1" width="25"/>
    <col collapsed="false" customWidth="true" hidden="false" outlineLevel="0" max="5" min="5" style="1" width="20"/>
  </cols>
  <sheetData>
    <row r="1" customFormat="false" ht="31.5" hidden="false" customHeight="true" outlineLevel="0" collapsed="false">
      <c r="A1" s="73" t="s">
        <v>351</v>
      </c>
      <c r="B1" s="73"/>
      <c r="C1" s="73"/>
      <c r="D1" s="73"/>
      <c r="E1" s="73"/>
    </row>
    <row r="3" customFormat="false" ht="25.5" hidden="false" customHeight="true" outlineLevel="0" collapsed="false">
      <c r="A3" s="107" t="s">
        <v>352</v>
      </c>
      <c r="B3" s="107"/>
      <c r="C3" s="107"/>
      <c r="D3" s="107"/>
      <c r="E3" s="107"/>
    </row>
    <row r="4" customFormat="false" ht="19.5" hidden="false" customHeight="true" outlineLevel="0" collapsed="false">
      <c r="A4" s="108" t="s">
        <v>353</v>
      </c>
      <c r="B4" s="109" t="s">
        <v>354</v>
      </c>
      <c r="C4" s="109"/>
      <c r="D4" s="110"/>
      <c r="E4" s="110"/>
    </row>
    <row r="5" customFormat="false" ht="19.5" hidden="false" customHeight="true" outlineLevel="0" collapsed="false">
      <c r="A5" s="108" t="s">
        <v>353</v>
      </c>
      <c r="B5" s="109" t="s">
        <v>355</v>
      </c>
      <c r="C5" s="109"/>
      <c r="D5" s="110"/>
      <c r="E5" s="110"/>
    </row>
    <row r="6" customFormat="false" ht="19.5" hidden="false" customHeight="true" outlineLevel="0" collapsed="false">
      <c r="A6" s="108" t="s">
        <v>353</v>
      </c>
      <c r="B6" s="109" t="s">
        <v>356</v>
      </c>
      <c r="C6" s="109"/>
      <c r="D6" s="110" t="s">
        <v>357</v>
      </c>
      <c r="E6" s="110"/>
    </row>
    <row r="7" customFormat="false" ht="19.5" hidden="false" customHeight="true" outlineLevel="0" collapsed="false">
      <c r="A7" s="108" t="s">
        <v>353</v>
      </c>
      <c r="B7" s="109" t="s">
        <v>358</v>
      </c>
      <c r="C7" s="109"/>
      <c r="D7" s="110"/>
      <c r="E7" s="110"/>
    </row>
    <row r="8" customFormat="false" ht="19.5" hidden="false" customHeight="true" outlineLevel="0" collapsed="false">
      <c r="A8" s="108" t="s">
        <v>353</v>
      </c>
      <c r="B8" s="109" t="s">
        <v>359</v>
      </c>
      <c r="C8" s="109"/>
      <c r="D8" s="110"/>
      <c r="E8" s="110"/>
    </row>
    <row r="9" customFormat="false" ht="19.5" hidden="false" customHeight="true" outlineLevel="0" collapsed="false">
      <c r="A9" s="108" t="s">
        <v>353</v>
      </c>
      <c r="B9" s="109" t="s">
        <v>360</v>
      </c>
      <c r="C9" s="109"/>
      <c r="D9" s="110" t="s">
        <v>361</v>
      </c>
      <c r="E9" s="110"/>
    </row>
    <row r="11" customFormat="false" ht="25.5" hidden="false" customHeight="true" outlineLevel="0" collapsed="false">
      <c r="A11" s="111" t="s">
        <v>362</v>
      </c>
      <c r="B11" s="111"/>
      <c r="C11" s="111"/>
      <c r="D11" s="111"/>
      <c r="E11" s="111"/>
    </row>
    <row r="12" customFormat="false" ht="19.5" hidden="false" customHeight="true" outlineLevel="0" collapsed="false">
      <c r="A12" s="108" t="s">
        <v>353</v>
      </c>
      <c r="B12" s="109" t="s">
        <v>363</v>
      </c>
      <c r="C12" s="109"/>
      <c r="D12" s="110" t="s">
        <v>364</v>
      </c>
      <c r="E12" s="110"/>
    </row>
    <row r="13" customFormat="false" ht="19.5" hidden="false" customHeight="true" outlineLevel="0" collapsed="false">
      <c r="A13" s="108" t="s">
        <v>353</v>
      </c>
      <c r="B13" s="109" t="s">
        <v>365</v>
      </c>
      <c r="C13" s="109"/>
      <c r="D13" s="110"/>
      <c r="E13" s="110"/>
    </row>
    <row r="14" customFormat="false" ht="19.5" hidden="false" customHeight="true" outlineLevel="0" collapsed="false">
      <c r="A14" s="108" t="s">
        <v>353</v>
      </c>
      <c r="B14" s="109" t="s">
        <v>366</v>
      </c>
      <c r="C14" s="109"/>
      <c r="D14" s="110" t="s">
        <v>367</v>
      </c>
      <c r="E14" s="110"/>
    </row>
    <row r="15" customFormat="false" ht="19.5" hidden="false" customHeight="true" outlineLevel="0" collapsed="false">
      <c r="A15" s="108" t="s">
        <v>353</v>
      </c>
      <c r="B15" s="109" t="s">
        <v>368</v>
      </c>
      <c r="C15" s="109"/>
      <c r="D15" s="110"/>
      <c r="E15" s="110"/>
    </row>
    <row r="16" customFormat="false" ht="19.5" hidden="false" customHeight="true" outlineLevel="0" collapsed="false">
      <c r="A16" s="108" t="s">
        <v>353</v>
      </c>
      <c r="B16" s="109" t="s">
        <v>369</v>
      </c>
      <c r="C16" s="109"/>
      <c r="D16" s="110" t="s">
        <v>370</v>
      </c>
      <c r="E16" s="110"/>
    </row>
    <row r="17" customFormat="false" ht="19.5" hidden="false" customHeight="true" outlineLevel="0" collapsed="false">
      <c r="A17" s="108" t="s">
        <v>353</v>
      </c>
      <c r="B17" s="109" t="s">
        <v>371</v>
      </c>
      <c r="C17" s="109"/>
      <c r="D17" s="110"/>
      <c r="E17" s="110"/>
    </row>
    <row r="19" customFormat="false" ht="25.5" hidden="false" customHeight="true" outlineLevel="0" collapsed="false">
      <c r="A19" s="112" t="s">
        <v>372</v>
      </c>
      <c r="B19" s="112"/>
      <c r="C19" s="112"/>
      <c r="D19" s="112"/>
      <c r="E19" s="112"/>
    </row>
    <row r="20" customFormat="false" ht="19.5" hidden="false" customHeight="true" outlineLevel="0" collapsed="false">
      <c r="A20" s="108" t="s">
        <v>353</v>
      </c>
      <c r="B20" s="109" t="s">
        <v>373</v>
      </c>
      <c r="C20" s="109"/>
      <c r="D20" s="110"/>
      <c r="E20" s="110"/>
    </row>
    <row r="21" customFormat="false" ht="19.5" hidden="false" customHeight="true" outlineLevel="0" collapsed="false">
      <c r="A21" s="108" t="s">
        <v>353</v>
      </c>
      <c r="B21" s="109" t="s">
        <v>374</v>
      </c>
      <c r="C21" s="109"/>
      <c r="D21" s="110" t="s">
        <v>375</v>
      </c>
      <c r="E21" s="110"/>
    </row>
    <row r="22" customFormat="false" ht="19.5" hidden="false" customHeight="true" outlineLevel="0" collapsed="false">
      <c r="A22" s="108" t="s">
        <v>353</v>
      </c>
      <c r="B22" s="109" t="s">
        <v>376</v>
      </c>
      <c r="C22" s="109"/>
      <c r="D22" s="110"/>
      <c r="E22" s="110"/>
    </row>
    <row r="23" customFormat="false" ht="19.5" hidden="false" customHeight="true" outlineLevel="0" collapsed="false">
      <c r="A23" s="108" t="s">
        <v>353</v>
      </c>
      <c r="B23" s="109" t="s">
        <v>377</v>
      </c>
      <c r="C23" s="109"/>
      <c r="D23" s="110" t="s">
        <v>378</v>
      </c>
      <c r="E23" s="110"/>
    </row>
    <row r="24" customFormat="false" ht="19.5" hidden="false" customHeight="true" outlineLevel="0" collapsed="false">
      <c r="A24" s="108" t="s">
        <v>353</v>
      </c>
      <c r="B24" s="109" t="s">
        <v>379</v>
      </c>
      <c r="C24" s="109"/>
      <c r="D24" s="110" t="s">
        <v>380</v>
      </c>
      <c r="E24" s="110"/>
    </row>
    <row r="25" customFormat="false" ht="19.5" hidden="false" customHeight="true" outlineLevel="0" collapsed="false">
      <c r="A25" s="108" t="s">
        <v>353</v>
      </c>
      <c r="B25" s="109" t="s">
        <v>381</v>
      </c>
      <c r="C25" s="109"/>
      <c r="D25" s="110" t="s">
        <v>382</v>
      </c>
      <c r="E25" s="110"/>
    </row>
    <row r="27" customFormat="false" ht="15" hidden="false" customHeight="true" outlineLevel="0" collapsed="false">
      <c r="A27" s="8" t="s">
        <v>383</v>
      </c>
      <c r="B27" s="8"/>
      <c r="C27" s="8"/>
      <c r="D27" s="8"/>
      <c r="E27" s="8"/>
    </row>
    <row r="28" customFormat="false" ht="15" hidden="false" customHeight="true" outlineLevel="0" collapsed="false">
      <c r="A28" s="9" t="s">
        <v>201</v>
      </c>
      <c r="B28" s="9" t="s">
        <v>384</v>
      </c>
      <c r="C28" s="9" t="s">
        <v>385</v>
      </c>
      <c r="D28" s="9" t="s">
        <v>386</v>
      </c>
      <c r="E28" s="9" t="s">
        <v>387</v>
      </c>
    </row>
    <row r="29" customFormat="false" ht="15" hidden="false" customHeight="true" outlineLevel="0" collapsed="false">
      <c r="A29" s="113" t="n">
        <v>0.55</v>
      </c>
      <c r="B29" s="114" t="n">
        <v>2</v>
      </c>
      <c r="C29" s="114" t="n">
        <v>20</v>
      </c>
      <c r="D29" s="115" t="n">
        <v>3200</v>
      </c>
      <c r="E29" s="115" t="n">
        <v>38400</v>
      </c>
    </row>
    <row r="30" customFormat="false" ht="15" hidden="false" customHeight="true" outlineLevel="0" collapsed="false">
      <c r="A30" s="116" t="n">
        <v>0.65</v>
      </c>
      <c r="B30" s="117" t="n">
        <v>2</v>
      </c>
      <c r="C30" s="117" t="n">
        <v>20</v>
      </c>
      <c r="D30" s="91" t="n">
        <v>6800</v>
      </c>
      <c r="E30" s="91" t="n">
        <v>81600</v>
      </c>
    </row>
    <row r="31" customFormat="false" ht="15" hidden="false" customHeight="true" outlineLevel="0" collapsed="false">
      <c r="A31" s="116" t="n">
        <v>0.7</v>
      </c>
      <c r="B31" s="117" t="n">
        <v>2</v>
      </c>
      <c r="C31" s="117" t="n">
        <v>20</v>
      </c>
      <c r="D31" s="91" t="n">
        <v>9500</v>
      </c>
      <c r="E31" s="91" t="n">
        <v>114000</v>
      </c>
    </row>
    <row r="32" customFormat="false" ht="15" hidden="false" customHeight="true" outlineLevel="0" collapsed="false">
      <c r="A32" s="116" t="n">
        <v>0.75</v>
      </c>
      <c r="B32" s="117" t="n">
        <v>3</v>
      </c>
      <c r="C32" s="117" t="n">
        <v>20</v>
      </c>
      <c r="D32" s="91" t="n">
        <v>16200</v>
      </c>
      <c r="E32" s="91" t="n">
        <v>194400</v>
      </c>
    </row>
  </sheetData>
  <mergeCells count="41">
    <mergeCell ref="A1:E1"/>
    <mergeCell ref="A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2026-03-29T02:48:11Z</dcterms:created>
  <dc:creator>openpyxl</dc:creator>
  <dc:description/>
  <dc:language>en-US</dc:language>
  <cp:lastModifiedBy/>
  <dcterms:modified xsi:type="dcterms:W3CDTF">2026-03-29T02:48:44Z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